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maxltd-my.sharepoint.com/personal/embedded_qmaxsys_com/Documents/Kulasekaran/AC IR Control/Documents/"/>
    </mc:Choice>
  </mc:AlternateContent>
  <xr:revisionPtr revIDLastSave="250" documentId="8_{5EAE7188-0E54-466B-8101-179A52B017B6}" xr6:coauthVersionLast="47" xr6:coauthVersionMax="47" xr10:uidLastSave="{82568F49-5803-4109-944F-78284BF4EF9F}"/>
  <bookViews>
    <workbookView xWindow="-120" yWindow="-120" windowWidth="29040" windowHeight="15720" xr2:uid="{2C4D1BDF-3D34-4C4B-AB3A-EAE6F99F4D2D}"/>
  </bookViews>
  <sheets>
    <sheet name="Sheet1" sheetId="1" r:id="rId1"/>
  </sheets>
  <definedNames>
    <definedName name="_xlnm._FilterDatabase" localSheetId="0" hidden="1">Sheet1!$J$12:$J$450</definedName>
    <definedName name="bitmark">Sheet1!$C$5</definedName>
    <definedName name="gap">Sheet1!$C$8</definedName>
    <definedName name="hdrmark">Sheet1!$C$3</definedName>
    <definedName name="hdrspace">Sheet1!$C$4</definedName>
    <definedName name="Tolerance" comment="Sets the tolerance value in decoding IR protocol">Sheet1!$B$1/100</definedName>
    <definedName name="zerospace">Sheet1!$C$7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F145" i="1" s="1" a="1"/>
  <c r="F145" i="1" s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F450" i="1" s="1" a="1"/>
  <c r="F450" i="1" s="1"/>
  <c r="E11" i="1"/>
  <c r="E4" i="1" a="1"/>
  <c r="E4" i="1" s="1"/>
  <c r="E5" i="1" a="1"/>
  <c r="E5" i="1" s="1"/>
  <c r="E6" i="1" a="1"/>
  <c r="E6" i="1" s="1"/>
  <c r="E7" i="1" a="1"/>
  <c r="E7" i="1" s="1"/>
  <c r="E8" i="1" a="1"/>
  <c r="E8" i="1" s="1"/>
  <c r="E3" i="1" a="1"/>
  <c r="E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3" i="1" a="1"/>
  <c r="D3" i="1" s="1"/>
  <c r="C450" i="1"/>
  <c r="C11" i="1"/>
  <c r="F449" i="1" l="1" a="1"/>
  <c r="F449" i="1" s="1"/>
  <c r="F448" i="1" s="1" a="1"/>
  <c r="F448" i="1" s="1"/>
  <c r="F447" i="1" s="1" a="1"/>
  <c r="F447" i="1" s="1"/>
  <c r="F446" i="1" s="1" a="1"/>
  <c r="F446" i="1" s="1"/>
  <c r="F445" i="1" s="1" a="1"/>
  <c r="F445" i="1" s="1"/>
  <c r="F444" i="1" s="1" a="1"/>
  <c r="F444" i="1" s="1"/>
  <c r="F443" i="1" s="1" a="1"/>
  <c r="F443" i="1" s="1"/>
  <c r="F442" i="1" s="1" a="1"/>
  <c r="F442" i="1" s="1"/>
  <c r="F441" i="1" s="1" a="1"/>
  <c r="F441" i="1" s="1"/>
  <c r="F440" i="1" s="1" a="1"/>
  <c r="F440" i="1" s="1"/>
  <c r="F439" i="1" s="1" a="1"/>
  <c r="F439" i="1" s="1"/>
  <c r="F438" i="1" s="1" a="1"/>
  <c r="F438" i="1" s="1"/>
  <c r="F437" i="1" s="1" a="1"/>
  <c r="F437" i="1" s="1"/>
  <c r="F436" i="1" s="1" a="1"/>
  <c r="F436" i="1" s="1"/>
  <c r="F435" i="1" s="1" a="1"/>
  <c r="F435" i="1" s="1"/>
  <c r="F434" i="1" s="1" a="1"/>
  <c r="F434" i="1" s="1"/>
  <c r="F433" i="1" s="1" a="1"/>
  <c r="F433" i="1" s="1"/>
  <c r="F432" i="1" s="1" a="1"/>
  <c r="F432" i="1" s="1"/>
  <c r="F431" i="1" s="1" a="1"/>
  <c r="F431" i="1" s="1"/>
  <c r="F430" i="1" s="1" a="1"/>
  <c r="F430" i="1" s="1"/>
  <c r="F429" i="1" s="1" a="1"/>
  <c r="F429" i="1" s="1"/>
  <c r="F428" i="1" s="1" a="1"/>
  <c r="F428" i="1" s="1"/>
  <c r="F427" i="1" s="1" a="1"/>
  <c r="F427" i="1" s="1"/>
  <c r="F426" i="1" s="1" a="1"/>
  <c r="F426" i="1" s="1"/>
  <c r="F425" i="1" s="1" a="1"/>
  <c r="F425" i="1" s="1"/>
  <c r="F424" i="1" s="1" a="1"/>
  <c r="F424" i="1" s="1"/>
  <c r="F423" i="1" s="1" a="1"/>
  <c r="F423" i="1" s="1"/>
  <c r="F422" i="1" s="1" a="1"/>
  <c r="F422" i="1" s="1"/>
  <c r="F421" i="1" s="1" a="1"/>
  <c r="F421" i="1" s="1"/>
  <c r="F420" i="1" s="1" a="1"/>
  <c r="F420" i="1" s="1"/>
  <c r="F419" i="1" s="1" a="1"/>
  <c r="F419" i="1" s="1"/>
  <c r="F418" i="1" s="1" a="1"/>
  <c r="F418" i="1" s="1"/>
  <c r="F417" i="1" s="1" a="1"/>
  <c r="F417" i="1" s="1"/>
  <c r="F416" i="1" s="1" a="1"/>
  <c r="F416" i="1" s="1"/>
  <c r="F415" i="1" s="1" a="1"/>
  <c r="F415" i="1" s="1"/>
  <c r="F414" i="1" s="1" a="1"/>
  <c r="F414" i="1" s="1"/>
  <c r="F413" i="1" s="1" a="1"/>
  <c r="F413" i="1" s="1"/>
  <c r="F412" i="1" s="1" a="1"/>
  <c r="F412" i="1" s="1"/>
  <c r="F411" i="1" s="1" a="1"/>
  <c r="F411" i="1" s="1"/>
  <c r="F410" i="1" s="1" a="1"/>
  <c r="F410" i="1" s="1"/>
  <c r="F409" i="1" s="1" a="1"/>
  <c r="F409" i="1" s="1"/>
  <c r="F408" i="1" s="1" a="1"/>
  <c r="F408" i="1" s="1"/>
  <c r="F407" i="1" s="1" a="1"/>
  <c r="F407" i="1" s="1"/>
  <c r="F406" i="1" s="1" a="1"/>
  <c r="F406" i="1" s="1"/>
  <c r="F405" i="1" s="1" a="1"/>
  <c r="F405" i="1" s="1"/>
  <c r="F404" i="1" s="1" a="1"/>
  <c r="F404" i="1" s="1"/>
  <c r="F403" i="1" s="1" a="1"/>
  <c r="F403" i="1" s="1"/>
  <c r="F402" i="1" s="1" a="1"/>
  <c r="F402" i="1" s="1"/>
  <c r="F401" i="1" s="1" a="1"/>
  <c r="F401" i="1" s="1"/>
  <c r="F400" i="1" s="1" a="1"/>
  <c r="F400" i="1" s="1"/>
  <c r="F399" i="1" s="1" a="1"/>
  <c r="F399" i="1" s="1"/>
  <c r="F398" i="1" s="1" a="1"/>
  <c r="F398" i="1" s="1"/>
  <c r="F397" i="1" s="1" a="1"/>
  <c r="F397" i="1" s="1"/>
  <c r="F396" i="1" s="1" a="1"/>
  <c r="F396" i="1" s="1"/>
  <c r="F395" i="1" s="1" a="1"/>
  <c r="F395" i="1" s="1"/>
  <c r="F394" i="1" s="1" a="1"/>
  <c r="F394" i="1" s="1"/>
  <c r="F393" i="1" s="1" a="1"/>
  <c r="F393" i="1" s="1"/>
  <c r="F392" i="1" s="1" a="1"/>
  <c r="F392" i="1" s="1"/>
  <c r="F391" i="1" s="1" a="1"/>
  <c r="F391" i="1" s="1"/>
  <c r="F390" i="1" s="1" a="1"/>
  <c r="F390" i="1" s="1"/>
  <c r="F389" i="1" s="1" a="1"/>
  <c r="F389" i="1" s="1"/>
  <c r="F388" i="1" s="1" a="1"/>
  <c r="F388" i="1" s="1"/>
  <c r="F387" i="1" s="1" a="1"/>
  <c r="F387" i="1" s="1"/>
  <c r="F386" i="1" s="1" a="1"/>
  <c r="F386" i="1" s="1"/>
  <c r="F385" i="1" s="1" a="1"/>
  <c r="F385" i="1" s="1"/>
  <c r="F384" i="1" s="1" a="1"/>
  <c r="F384" i="1" s="1"/>
  <c r="F383" i="1" s="1" a="1"/>
  <c r="F383" i="1" s="1"/>
  <c r="F382" i="1" s="1" a="1"/>
  <c r="F382" i="1" s="1"/>
  <c r="F381" i="1" s="1" a="1"/>
  <c r="F381" i="1" s="1"/>
  <c r="F380" i="1" s="1" a="1"/>
  <c r="F380" i="1" s="1"/>
  <c r="F379" i="1" s="1" a="1"/>
  <c r="F379" i="1" s="1"/>
  <c r="F378" i="1" s="1" a="1"/>
  <c r="F378" i="1" s="1"/>
  <c r="F377" i="1" s="1" a="1"/>
  <c r="F377" i="1" s="1"/>
  <c r="F376" i="1" s="1" a="1"/>
  <c r="F376" i="1" s="1"/>
  <c r="F375" i="1" s="1" a="1"/>
  <c r="F375" i="1" s="1"/>
  <c r="F374" i="1" s="1" a="1"/>
  <c r="F374" i="1" s="1"/>
  <c r="F373" i="1" s="1" a="1"/>
  <c r="F373" i="1" s="1"/>
  <c r="F372" i="1" s="1" a="1"/>
  <c r="F372" i="1" s="1"/>
  <c r="F371" i="1" s="1" a="1"/>
  <c r="F371" i="1" s="1"/>
  <c r="F370" i="1" s="1" a="1"/>
  <c r="F370" i="1" s="1"/>
  <c r="F369" i="1" s="1" a="1"/>
  <c r="F369" i="1" s="1"/>
  <c r="F368" i="1" s="1" a="1"/>
  <c r="F368" i="1" s="1"/>
  <c r="F367" i="1" s="1" a="1"/>
  <c r="F367" i="1" s="1"/>
  <c r="F366" i="1" s="1" a="1"/>
  <c r="F366" i="1" s="1"/>
  <c r="F365" i="1" s="1" a="1"/>
  <c r="F365" i="1" s="1"/>
  <c r="F364" i="1" s="1" a="1"/>
  <c r="F364" i="1" s="1"/>
  <c r="F363" i="1" s="1" a="1"/>
  <c r="F363" i="1" s="1"/>
  <c r="F362" i="1" s="1" a="1"/>
  <c r="F362" i="1" s="1"/>
  <c r="F361" i="1" s="1" a="1"/>
  <c r="F361" i="1" s="1"/>
  <c r="F360" i="1" s="1" a="1"/>
  <c r="F360" i="1" s="1"/>
  <c r="F359" i="1" s="1" a="1"/>
  <c r="F359" i="1" s="1"/>
  <c r="F358" i="1" s="1" a="1"/>
  <c r="F358" i="1" s="1"/>
  <c r="F357" i="1" s="1" a="1"/>
  <c r="F357" i="1" s="1"/>
  <c r="F356" i="1" s="1" a="1"/>
  <c r="F356" i="1" s="1"/>
  <c r="F355" i="1" s="1" a="1"/>
  <c r="F355" i="1" s="1"/>
  <c r="F354" i="1" s="1" a="1"/>
  <c r="F354" i="1" s="1"/>
  <c r="F353" i="1" s="1" a="1"/>
  <c r="F353" i="1" s="1"/>
  <c r="F352" i="1" s="1" a="1"/>
  <c r="F352" i="1" s="1"/>
  <c r="F351" i="1" s="1" a="1"/>
  <c r="F351" i="1" s="1"/>
  <c r="F350" i="1" s="1" a="1"/>
  <c r="F350" i="1" s="1"/>
  <c r="F349" i="1" s="1" a="1"/>
  <c r="F349" i="1" s="1"/>
  <c r="F348" i="1" s="1" a="1"/>
  <c r="F348" i="1" s="1"/>
  <c r="F347" i="1" s="1" a="1"/>
  <c r="F347" i="1" s="1"/>
  <c r="F346" i="1" s="1" a="1"/>
  <c r="F346" i="1" s="1"/>
  <c r="F345" i="1" s="1" a="1"/>
  <c r="F345" i="1" s="1"/>
  <c r="F344" i="1" s="1" a="1"/>
  <c r="F344" i="1" s="1"/>
  <c r="F343" i="1" s="1" a="1"/>
  <c r="F343" i="1" s="1"/>
  <c r="F342" i="1" s="1" a="1"/>
  <c r="F342" i="1" s="1"/>
  <c r="F341" i="1" s="1" a="1"/>
  <c r="F341" i="1" s="1"/>
  <c r="F340" i="1" s="1" a="1"/>
  <c r="F340" i="1" s="1"/>
  <c r="F339" i="1" s="1" a="1"/>
  <c r="F339" i="1" s="1"/>
  <c r="F338" i="1" s="1" a="1"/>
  <c r="F338" i="1" s="1"/>
  <c r="F337" i="1" s="1" a="1"/>
  <c r="F337" i="1" s="1"/>
  <c r="F336" i="1" s="1" a="1"/>
  <c r="F336" i="1" s="1"/>
  <c r="F335" i="1" s="1" a="1"/>
  <c r="F335" i="1" s="1"/>
  <c r="F334" i="1" s="1" a="1"/>
  <c r="F334" i="1" s="1"/>
  <c r="F333" i="1" s="1" a="1"/>
  <c r="F333" i="1" s="1"/>
  <c r="F332" i="1" s="1" a="1"/>
  <c r="F332" i="1" s="1"/>
  <c r="F331" i="1" s="1" a="1"/>
  <c r="F331" i="1" s="1"/>
  <c r="F330" i="1" s="1" a="1"/>
  <c r="F330" i="1" s="1"/>
  <c r="F329" i="1" s="1" a="1"/>
  <c r="F329" i="1" s="1"/>
  <c r="F328" i="1" s="1" a="1"/>
  <c r="F328" i="1" s="1"/>
  <c r="F327" i="1" s="1" a="1"/>
  <c r="F327" i="1" s="1"/>
  <c r="F326" i="1" s="1" a="1"/>
  <c r="F326" i="1" s="1"/>
  <c r="F325" i="1" s="1" a="1"/>
  <c r="F325" i="1" s="1"/>
  <c r="F324" i="1" s="1" a="1"/>
  <c r="F324" i="1" s="1"/>
  <c r="F323" i="1" s="1" a="1"/>
  <c r="F323" i="1" s="1"/>
  <c r="F322" i="1" s="1" a="1"/>
  <c r="F322" i="1" s="1"/>
  <c r="F321" i="1" s="1" a="1"/>
  <c r="F321" i="1" s="1"/>
  <c r="F320" i="1" s="1" a="1"/>
  <c r="F320" i="1" s="1"/>
  <c r="F319" i="1" s="1" a="1"/>
  <c r="F319" i="1" s="1"/>
  <c r="F318" i="1" s="1" a="1"/>
  <c r="F318" i="1" s="1"/>
  <c r="F317" i="1" s="1" a="1"/>
  <c r="F317" i="1" s="1"/>
  <c r="F316" i="1" s="1" a="1"/>
  <c r="F316" i="1" s="1"/>
  <c r="F315" i="1" s="1" a="1"/>
  <c r="F315" i="1" s="1"/>
  <c r="F314" i="1" s="1" a="1"/>
  <c r="F314" i="1" s="1"/>
  <c r="F313" i="1" s="1" a="1"/>
  <c r="F313" i="1" s="1"/>
  <c r="F312" i="1" s="1" a="1"/>
  <c r="F312" i="1" s="1"/>
  <c r="F311" i="1" s="1" a="1"/>
  <c r="F311" i="1" s="1"/>
  <c r="F310" i="1" s="1" a="1"/>
  <c r="F310" i="1" s="1"/>
  <c r="F309" i="1" s="1" a="1"/>
  <c r="F309" i="1" s="1"/>
  <c r="F308" i="1" s="1" a="1"/>
  <c r="F308" i="1" s="1"/>
  <c r="F307" i="1" s="1" a="1"/>
  <c r="F307" i="1" s="1"/>
  <c r="F306" i="1" s="1" a="1"/>
  <c r="F306" i="1" s="1"/>
  <c r="F305" i="1" s="1" a="1"/>
  <c r="F305" i="1" s="1"/>
  <c r="F304" i="1" s="1" a="1"/>
  <c r="F304" i="1" s="1"/>
  <c r="F303" i="1" s="1" a="1"/>
  <c r="F303" i="1" s="1"/>
  <c r="F302" i="1" s="1" a="1"/>
  <c r="F302" i="1" s="1"/>
  <c r="F301" i="1" s="1" a="1"/>
  <c r="F301" i="1" s="1"/>
  <c r="F300" i="1" s="1" a="1"/>
  <c r="F300" i="1" s="1"/>
  <c r="F299" i="1" s="1" a="1"/>
  <c r="F299" i="1" s="1"/>
  <c r="F298" i="1" s="1" a="1"/>
  <c r="F298" i="1" s="1"/>
  <c r="F297" i="1" s="1" a="1"/>
  <c r="F297" i="1" s="1"/>
  <c r="F296" i="1" s="1" a="1"/>
  <c r="F296" i="1" s="1"/>
  <c r="F295" i="1" s="1" a="1"/>
  <c r="F295" i="1" s="1"/>
  <c r="F294" i="1" s="1" a="1"/>
  <c r="F294" i="1" s="1"/>
  <c r="F293" i="1" s="1" a="1"/>
  <c r="F293" i="1" s="1"/>
  <c r="F292" i="1" s="1" a="1"/>
  <c r="F292" i="1" s="1"/>
  <c r="F291" i="1" s="1" a="1"/>
  <c r="F291" i="1" s="1"/>
  <c r="F290" i="1" s="1" a="1"/>
  <c r="F290" i="1" s="1"/>
  <c r="F289" i="1" s="1" a="1"/>
  <c r="F289" i="1" s="1"/>
  <c r="F288" i="1" s="1" a="1"/>
  <c r="F288" i="1" s="1"/>
  <c r="F287" i="1" s="1" a="1"/>
  <c r="F287" i="1" s="1"/>
  <c r="F286" i="1" s="1" a="1"/>
  <c r="F286" i="1" s="1"/>
  <c r="F285" i="1" s="1" a="1"/>
  <c r="F285" i="1" s="1"/>
  <c r="F284" i="1" s="1" a="1"/>
  <c r="F284" i="1" s="1"/>
  <c r="F283" i="1" s="1" a="1"/>
  <c r="F283" i="1" s="1"/>
  <c r="F282" i="1" s="1" a="1"/>
  <c r="F282" i="1" s="1"/>
  <c r="F281" i="1" s="1" a="1"/>
  <c r="F281" i="1" s="1"/>
  <c r="F280" i="1" s="1" a="1"/>
  <c r="F280" i="1" s="1"/>
  <c r="F279" i="1" s="1" a="1"/>
  <c r="F279" i="1" s="1"/>
  <c r="F278" i="1" s="1" a="1"/>
  <c r="F278" i="1" s="1"/>
  <c r="F277" i="1" s="1" a="1"/>
  <c r="F277" i="1" s="1"/>
  <c r="F276" i="1" s="1" a="1"/>
  <c r="F276" i="1" s="1"/>
  <c r="F275" i="1" s="1" a="1"/>
  <c r="F275" i="1" s="1"/>
  <c r="F274" i="1" s="1" a="1"/>
  <c r="F274" i="1" s="1"/>
  <c r="F273" i="1" s="1" a="1"/>
  <c r="F273" i="1" s="1"/>
  <c r="F272" i="1" s="1" a="1"/>
  <c r="F272" i="1" s="1"/>
  <c r="F271" i="1" s="1" a="1"/>
  <c r="F271" i="1" s="1"/>
  <c r="F270" i="1" s="1" a="1"/>
  <c r="F270" i="1" s="1"/>
  <c r="F269" i="1" s="1" a="1"/>
  <c r="F269" i="1" s="1"/>
  <c r="F268" i="1" s="1" a="1"/>
  <c r="F268" i="1" s="1"/>
  <c r="F267" i="1" s="1" a="1"/>
  <c r="F267" i="1" s="1"/>
  <c r="F266" i="1" s="1" a="1"/>
  <c r="F266" i="1" s="1"/>
  <c r="F265" i="1" s="1" a="1"/>
  <c r="F265" i="1" s="1"/>
  <c r="F264" i="1" s="1" a="1"/>
  <c r="F264" i="1" s="1"/>
  <c r="F263" i="1" s="1" a="1"/>
  <c r="F263" i="1" s="1"/>
  <c r="F262" i="1" s="1" a="1"/>
  <c r="F262" i="1" s="1"/>
  <c r="F261" i="1" s="1" a="1"/>
  <c r="F261" i="1" s="1"/>
  <c r="F260" i="1" s="1" a="1"/>
  <c r="F260" i="1" s="1"/>
  <c r="F259" i="1" s="1" a="1"/>
  <c r="F259" i="1" s="1"/>
  <c r="F258" i="1" s="1" a="1"/>
  <c r="F258" i="1" s="1"/>
  <c r="F257" i="1" s="1" a="1"/>
  <c r="F257" i="1" s="1"/>
  <c r="F256" i="1" s="1" a="1"/>
  <c r="F256" i="1" s="1"/>
  <c r="F255" i="1" s="1" a="1"/>
  <c r="F255" i="1" s="1"/>
  <c r="F254" i="1" s="1" a="1"/>
  <c r="F254" i="1" s="1"/>
  <c r="F253" i="1" s="1" a="1"/>
  <c r="F253" i="1" s="1"/>
  <c r="F252" i="1" s="1" a="1"/>
  <c r="F252" i="1" s="1"/>
  <c r="F251" i="1" s="1" a="1"/>
  <c r="F251" i="1" s="1"/>
  <c r="F250" i="1" s="1" a="1"/>
  <c r="F250" i="1" s="1"/>
  <c r="F249" i="1" s="1" a="1"/>
  <c r="F249" i="1" s="1"/>
  <c r="F248" i="1" s="1" a="1"/>
  <c r="F248" i="1" s="1"/>
  <c r="F247" i="1" s="1" a="1"/>
  <c r="F247" i="1" s="1"/>
  <c r="F246" i="1" s="1" a="1"/>
  <c r="F246" i="1" s="1"/>
  <c r="F245" i="1" s="1" a="1"/>
  <c r="F245" i="1" s="1"/>
  <c r="F244" i="1" s="1" a="1"/>
  <c r="F244" i="1" s="1"/>
  <c r="F243" i="1" s="1" a="1"/>
  <c r="F243" i="1" s="1"/>
  <c r="F242" i="1" s="1" a="1"/>
  <c r="F242" i="1" s="1"/>
  <c r="F241" i="1" s="1" a="1"/>
  <c r="F241" i="1" s="1"/>
  <c r="F240" i="1" s="1" a="1"/>
  <c r="F240" i="1" s="1"/>
  <c r="F239" i="1" s="1" a="1"/>
  <c r="F239" i="1" s="1"/>
  <c r="F238" i="1" s="1" a="1"/>
  <c r="F238" i="1" s="1"/>
  <c r="F237" i="1" s="1" a="1"/>
  <c r="F237" i="1" s="1"/>
  <c r="F236" i="1" s="1" a="1"/>
  <c r="F236" i="1" s="1"/>
  <c r="F235" i="1" s="1" a="1"/>
  <c r="F235" i="1" s="1"/>
  <c r="F234" i="1" s="1" a="1"/>
  <c r="F234" i="1" s="1"/>
  <c r="F233" i="1" s="1" a="1"/>
  <c r="F233" i="1" s="1"/>
  <c r="F232" i="1" s="1" a="1"/>
  <c r="F232" i="1" s="1"/>
  <c r="F231" i="1" s="1" a="1"/>
  <c r="F231" i="1" s="1"/>
  <c r="F230" i="1" s="1" a="1"/>
  <c r="F230" i="1" s="1"/>
  <c r="F229" i="1" s="1" a="1"/>
  <c r="F229" i="1" s="1"/>
  <c r="F228" i="1" s="1" a="1"/>
  <c r="F228" i="1" s="1"/>
  <c r="F227" i="1" s="1" a="1"/>
  <c r="F227" i="1" s="1"/>
  <c r="F226" i="1" s="1" a="1"/>
  <c r="F226" i="1" s="1"/>
  <c r="F225" i="1" s="1" a="1"/>
  <c r="F225" i="1" s="1"/>
  <c r="F224" i="1" s="1" a="1"/>
  <c r="F224" i="1" s="1"/>
  <c r="F223" i="1" s="1" a="1"/>
  <c r="F223" i="1" s="1"/>
  <c r="F222" i="1" s="1" a="1"/>
  <c r="F222" i="1" s="1"/>
  <c r="F221" i="1" s="1" a="1"/>
  <c r="F221" i="1" s="1"/>
  <c r="F220" i="1" s="1" a="1"/>
  <c r="F220" i="1" s="1"/>
  <c r="F219" i="1" s="1" a="1"/>
  <c r="F219" i="1" s="1"/>
  <c r="F218" i="1" s="1" a="1"/>
  <c r="F218" i="1" s="1"/>
  <c r="F217" i="1" s="1" a="1"/>
  <c r="F217" i="1" s="1"/>
  <c r="F216" i="1" s="1" a="1"/>
  <c r="F216" i="1" s="1"/>
  <c r="F215" i="1" s="1" a="1"/>
  <c r="F215" i="1" s="1"/>
  <c r="F214" i="1" s="1" a="1"/>
  <c r="F214" i="1" s="1"/>
  <c r="F213" i="1" s="1" a="1"/>
  <c r="F213" i="1" s="1"/>
  <c r="F212" i="1" s="1" a="1"/>
  <c r="F212" i="1" s="1"/>
  <c r="F211" i="1" s="1" a="1"/>
  <c r="F211" i="1" s="1"/>
  <c r="F210" i="1" s="1" a="1"/>
  <c r="F210" i="1" s="1"/>
  <c r="F209" i="1" s="1" a="1"/>
  <c r="F209" i="1" s="1"/>
  <c r="F208" i="1" s="1" a="1"/>
  <c r="F208" i="1" s="1"/>
  <c r="F207" i="1" s="1" a="1"/>
  <c r="F207" i="1" s="1"/>
  <c r="F206" i="1" s="1" a="1"/>
  <c r="F206" i="1" s="1"/>
  <c r="F205" i="1" s="1" a="1"/>
  <c r="F205" i="1" s="1"/>
  <c r="F204" i="1" s="1" a="1"/>
  <c r="F204" i="1" s="1"/>
  <c r="F203" i="1" s="1" a="1"/>
  <c r="F203" i="1" s="1"/>
  <c r="F202" i="1" s="1" a="1"/>
  <c r="F202" i="1" s="1"/>
  <c r="F201" i="1" s="1" a="1"/>
  <c r="F201" i="1" s="1"/>
  <c r="F200" i="1" s="1" a="1"/>
  <c r="F200" i="1" s="1"/>
  <c r="F199" i="1" s="1" a="1"/>
  <c r="F199" i="1" s="1"/>
  <c r="F198" i="1" s="1" a="1"/>
  <c r="F198" i="1" s="1"/>
  <c r="F197" i="1" s="1" a="1"/>
  <c r="F197" i="1" s="1"/>
  <c r="F196" i="1" s="1" a="1"/>
  <c r="F196" i="1" s="1"/>
  <c r="F195" i="1" s="1" a="1"/>
  <c r="F195" i="1" s="1"/>
  <c r="F194" i="1" s="1" a="1"/>
  <c r="F194" i="1" s="1"/>
  <c r="F193" i="1" s="1" a="1"/>
  <c r="F193" i="1" s="1"/>
  <c r="F192" i="1" s="1" a="1"/>
  <c r="F192" i="1" s="1"/>
  <c r="F191" i="1" s="1" a="1"/>
  <c r="F191" i="1" s="1"/>
  <c r="F190" i="1" s="1" a="1"/>
  <c r="F190" i="1" s="1"/>
  <c r="F189" i="1" s="1" a="1"/>
  <c r="F189" i="1" s="1"/>
  <c r="F188" i="1" s="1" a="1"/>
  <c r="F188" i="1" s="1"/>
  <c r="F187" i="1" s="1" a="1"/>
  <c r="F187" i="1" s="1"/>
  <c r="F186" i="1" s="1" a="1"/>
  <c r="F186" i="1" s="1"/>
  <c r="F185" i="1" s="1" a="1"/>
  <c r="F185" i="1" s="1"/>
  <c r="F184" i="1" s="1" a="1"/>
  <c r="F184" i="1" s="1"/>
  <c r="F183" i="1" s="1" a="1"/>
  <c r="F183" i="1" s="1"/>
  <c r="F182" i="1" s="1" a="1"/>
  <c r="F182" i="1" s="1"/>
  <c r="F181" i="1" s="1" a="1"/>
  <c r="F181" i="1" s="1"/>
  <c r="F180" i="1" s="1" a="1"/>
  <c r="F180" i="1" s="1"/>
  <c r="F179" i="1" s="1" a="1"/>
  <c r="F179" i="1" s="1"/>
  <c r="F178" i="1" s="1" a="1"/>
  <c r="F178" i="1" s="1"/>
  <c r="F177" i="1" s="1" a="1"/>
  <c r="F177" i="1" s="1"/>
  <c r="F176" i="1" s="1" a="1"/>
  <c r="F176" i="1" s="1"/>
  <c r="F175" i="1" s="1" a="1"/>
  <c r="F175" i="1" s="1"/>
  <c r="F174" i="1" s="1" a="1"/>
  <c r="F174" i="1" s="1"/>
  <c r="F173" i="1" s="1" a="1"/>
  <c r="F173" i="1" s="1"/>
  <c r="F172" i="1" s="1" a="1"/>
  <c r="F172" i="1" s="1"/>
  <c r="F171" i="1" s="1" a="1"/>
  <c r="F171" i="1" s="1"/>
  <c r="F170" i="1" s="1" a="1"/>
  <c r="F170" i="1" s="1"/>
  <c r="F169" i="1" s="1" a="1"/>
  <c r="F169" i="1" s="1"/>
  <c r="F168" i="1" s="1" a="1"/>
  <c r="F168" i="1" s="1"/>
  <c r="F167" i="1" s="1" a="1"/>
  <c r="F167" i="1" s="1"/>
  <c r="F166" i="1" s="1" a="1"/>
  <c r="F166" i="1" s="1"/>
  <c r="F165" i="1" s="1" a="1"/>
  <c r="F165" i="1" s="1"/>
  <c r="F164" i="1" s="1" a="1"/>
  <c r="F164" i="1" s="1"/>
  <c r="F163" i="1" s="1" a="1"/>
  <c r="F163" i="1" s="1"/>
  <c r="F162" i="1" s="1" a="1"/>
  <c r="F162" i="1" s="1"/>
  <c r="F161" i="1" s="1" a="1"/>
  <c r="F161" i="1" s="1"/>
  <c r="F160" i="1" s="1" a="1"/>
  <c r="F160" i="1" s="1"/>
  <c r="F159" i="1" s="1" a="1"/>
  <c r="F159" i="1" s="1"/>
  <c r="F158" i="1" s="1" a="1"/>
  <c r="F158" i="1" s="1"/>
  <c r="F157" i="1" s="1" a="1"/>
  <c r="F157" i="1" s="1"/>
  <c r="F156" i="1" s="1" a="1"/>
  <c r="F156" i="1" s="1"/>
  <c r="F155" i="1" s="1" a="1"/>
  <c r="F155" i="1" s="1"/>
  <c r="F154" i="1" s="1" a="1"/>
  <c r="F154" i="1" s="1"/>
  <c r="F153" i="1" s="1" a="1"/>
  <c r="F153" i="1" s="1"/>
  <c r="F152" i="1" s="1" a="1"/>
  <c r="F152" i="1" s="1"/>
  <c r="F151" i="1" s="1" a="1"/>
  <c r="F151" i="1" s="1"/>
  <c r="F150" i="1" s="1" a="1"/>
  <c r="F150" i="1" s="1"/>
  <c r="F149" i="1" s="1" a="1"/>
  <c r="F149" i="1" s="1"/>
  <c r="F148" i="1" s="1" a="1"/>
  <c r="F148" i="1" s="1"/>
  <c r="F147" i="1" s="1" a="1"/>
  <c r="F147" i="1" s="1"/>
  <c r="F146" i="1" s="1" a="1"/>
  <c r="F146" i="1" s="1"/>
  <c r="F144" i="1" a="1"/>
  <c r="F144" i="1" s="1"/>
  <c r="F143" i="1" s="1" a="1"/>
  <c r="F143" i="1" s="1"/>
  <c r="F142" i="1" s="1" a="1"/>
  <c r="F142" i="1" s="1"/>
  <c r="F141" i="1" s="1" a="1"/>
  <c r="F141" i="1" s="1"/>
  <c r="F140" i="1" s="1" a="1"/>
  <c r="F140" i="1" s="1"/>
  <c r="F139" i="1" s="1" a="1"/>
  <c r="F139" i="1" s="1"/>
  <c r="F138" i="1" s="1" a="1"/>
  <c r="F138" i="1" s="1"/>
  <c r="F137" i="1" s="1" a="1"/>
  <c r="F137" i="1" s="1"/>
  <c r="F136" i="1" s="1" a="1"/>
  <c r="F136" i="1" s="1"/>
  <c r="F135" i="1" s="1" a="1"/>
  <c r="F135" i="1" s="1"/>
  <c r="F134" i="1" s="1" a="1"/>
  <c r="F134" i="1" s="1"/>
  <c r="F133" i="1" s="1" a="1"/>
  <c r="F133" i="1" s="1"/>
  <c r="F132" i="1" s="1" a="1"/>
  <c r="F132" i="1" s="1"/>
  <c r="F131" i="1" s="1" a="1"/>
  <c r="F131" i="1" s="1"/>
  <c r="F130" i="1" s="1" a="1"/>
  <c r="F130" i="1" s="1"/>
  <c r="F129" i="1" s="1" a="1"/>
  <c r="F129" i="1" s="1"/>
  <c r="F128" i="1" s="1" a="1"/>
  <c r="F128" i="1" s="1"/>
  <c r="F127" i="1" s="1" a="1"/>
  <c r="F127" i="1" s="1"/>
  <c r="F126" i="1" s="1" a="1"/>
  <c r="F126" i="1" s="1"/>
  <c r="F125" i="1" s="1" a="1"/>
  <c r="F125" i="1" s="1"/>
  <c r="F124" i="1" s="1" a="1"/>
  <c r="F124" i="1" s="1"/>
  <c r="F123" i="1" s="1" a="1"/>
  <c r="F123" i="1" s="1"/>
  <c r="F122" i="1" s="1" a="1"/>
  <c r="F122" i="1" s="1"/>
  <c r="F121" i="1" s="1" a="1"/>
  <c r="F121" i="1" s="1"/>
  <c r="F120" i="1" s="1" a="1"/>
  <c r="F120" i="1" s="1"/>
  <c r="F119" i="1" s="1" a="1"/>
  <c r="F119" i="1" s="1"/>
  <c r="F118" i="1" s="1" a="1"/>
  <c r="F118" i="1" s="1"/>
  <c r="F117" i="1" s="1" a="1"/>
  <c r="F117" i="1" s="1"/>
  <c r="F116" i="1" s="1" a="1"/>
  <c r="F116" i="1" s="1"/>
  <c r="F115" i="1" s="1" a="1"/>
  <c r="F115" i="1" s="1"/>
  <c r="F114" i="1" s="1" a="1"/>
  <c r="F114" i="1" s="1"/>
  <c r="F113" i="1" s="1" a="1"/>
  <c r="F113" i="1" s="1"/>
  <c r="F112" i="1" s="1" a="1"/>
  <c r="F112" i="1" s="1"/>
  <c r="F111" i="1" s="1" a="1"/>
  <c r="F111" i="1" s="1"/>
  <c r="F110" i="1" s="1" a="1"/>
  <c r="F110" i="1" s="1"/>
  <c r="F109" i="1" s="1" a="1"/>
  <c r="F109" i="1" s="1"/>
  <c r="F108" i="1" s="1" a="1"/>
  <c r="F108" i="1" s="1"/>
  <c r="F107" i="1" s="1" a="1"/>
  <c r="F107" i="1" s="1"/>
  <c r="F106" i="1" s="1" a="1"/>
  <c r="F106" i="1" s="1"/>
  <c r="F105" i="1" s="1" a="1"/>
  <c r="F105" i="1" s="1"/>
  <c r="F104" i="1" s="1" a="1"/>
  <c r="F104" i="1" s="1"/>
  <c r="F103" i="1" s="1" a="1"/>
  <c r="F103" i="1" s="1"/>
  <c r="F102" i="1" s="1" a="1"/>
  <c r="F102" i="1" s="1"/>
  <c r="F101" i="1" s="1" a="1"/>
  <c r="F101" i="1" s="1"/>
  <c r="F100" i="1" s="1" a="1"/>
  <c r="F100" i="1" s="1"/>
  <c r="F99" i="1" s="1" a="1"/>
  <c r="F99" i="1" s="1"/>
  <c r="F98" i="1" s="1" a="1"/>
  <c r="F98" i="1" s="1"/>
  <c r="F97" i="1" s="1" a="1"/>
  <c r="F97" i="1" s="1"/>
  <c r="F96" i="1" s="1" a="1"/>
  <c r="F96" i="1" s="1"/>
  <c r="F95" i="1" s="1" a="1"/>
  <c r="F95" i="1" s="1"/>
  <c r="F94" i="1" s="1" a="1"/>
  <c r="F94" i="1" s="1"/>
  <c r="F93" i="1" s="1" a="1"/>
  <c r="F93" i="1" s="1"/>
  <c r="F92" i="1" s="1" a="1"/>
  <c r="F92" i="1" s="1"/>
  <c r="F91" i="1" s="1" a="1"/>
  <c r="F91" i="1" s="1"/>
  <c r="F90" i="1" s="1" a="1"/>
  <c r="F90" i="1" s="1"/>
  <c r="F89" i="1" s="1" a="1"/>
  <c r="F89" i="1" s="1"/>
  <c r="F88" i="1" s="1" a="1"/>
  <c r="F88" i="1" s="1"/>
  <c r="F87" i="1" s="1" a="1"/>
  <c r="F87" i="1" s="1"/>
  <c r="F86" i="1" s="1" a="1"/>
  <c r="F86" i="1" s="1"/>
  <c r="F85" i="1" s="1" a="1"/>
  <c r="F85" i="1" s="1"/>
  <c r="F84" i="1" s="1" a="1"/>
  <c r="F84" i="1" s="1"/>
  <c r="F83" i="1" s="1" a="1"/>
  <c r="F83" i="1" s="1"/>
  <c r="F82" i="1" s="1" a="1"/>
  <c r="F82" i="1" s="1"/>
  <c r="F81" i="1" s="1" a="1"/>
  <c r="F81" i="1" s="1"/>
  <c r="F80" i="1" s="1" a="1"/>
  <c r="F80" i="1" s="1"/>
  <c r="F79" i="1" s="1" a="1"/>
  <c r="F79" i="1" s="1"/>
  <c r="F78" i="1" s="1" a="1"/>
  <c r="F78" i="1" s="1"/>
  <c r="F77" i="1" s="1" a="1"/>
  <c r="F77" i="1" s="1"/>
  <c r="F76" i="1" s="1" a="1"/>
  <c r="F76" i="1" s="1"/>
  <c r="F75" i="1" s="1" a="1"/>
  <c r="F75" i="1" s="1"/>
  <c r="F74" i="1" s="1" a="1"/>
  <c r="F74" i="1" s="1"/>
  <c r="F73" i="1" s="1" a="1"/>
  <c r="F73" i="1" s="1"/>
  <c r="F72" i="1" s="1" a="1"/>
  <c r="F72" i="1" s="1"/>
  <c r="F71" i="1" s="1" a="1"/>
  <c r="F71" i="1" s="1"/>
  <c r="F70" i="1" s="1" a="1"/>
  <c r="F70" i="1" s="1"/>
  <c r="F69" i="1" s="1" a="1"/>
  <c r="F69" i="1" s="1"/>
  <c r="F68" i="1" s="1" a="1"/>
  <c r="F68" i="1" s="1"/>
  <c r="F67" i="1" s="1" a="1"/>
  <c r="F67" i="1" s="1"/>
  <c r="F66" i="1" s="1" a="1"/>
  <c r="F66" i="1" s="1"/>
  <c r="F65" i="1" s="1" a="1"/>
  <c r="F65" i="1" s="1"/>
  <c r="F64" i="1" s="1" a="1"/>
  <c r="F64" i="1" s="1"/>
  <c r="F63" i="1" s="1" a="1"/>
  <c r="F63" i="1" s="1"/>
  <c r="F62" i="1" s="1" a="1"/>
  <c r="F62" i="1" s="1"/>
  <c r="F61" i="1" s="1" a="1"/>
  <c r="F61" i="1" s="1"/>
  <c r="F60" i="1" s="1" a="1"/>
  <c r="F60" i="1" s="1"/>
  <c r="F59" i="1" s="1" a="1"/>
  <c r="F59" i="1" s="1"/>
  <c r="F58" i="1" s="1" a="1"/>
  <c r="F58" i="1" s="1"/>
  <c r="F57" i="1" s="1" a="1"/>
  <c r="F57" i="1" s="1"/>
  <c r="F56" i="1" s="1" a="1"/>
  <c r="F56" i="1" s="1"/>
  <c r="F55" i="1" s="1" a="1"/>
  <c r="F55" i="1" s="1"/>
  <c r="F54" i="1" s="1" a="1"/>
  <c r="F54" i="1" s="1"/>
  <c r="F53" i="1" s="1" a="1"/>
  <c r="F53" i="1" s="1"/>
  <c r="F52" i="1" s="1" a="1"/>
  <c r="F52" i="1" s="1"/>
  <c r="F51" i="1" s="1" a="1"/>
  <c r="F51" i="1" s="1"/>
  <c r="F50" i="1" s="1" a="1"/>
  <c r="F50" i="1" s="1"/>
  <c r="F49" i="1" s="1" a="1"/>
  <c r="F49" i="1" s="1"/>
  <c r="F48" i="1" s="1" a="1"/>
  <c r="F48" i="1" s="1"/>
  <c r="F47" i="1" s="1" a="1"/>
  <c r="F47" i="1" s="1"/>
  <c r="F46" i="1" s="1" a="1"/>
  <c r="F46" i="1" s="1"/>
  <c r="F45" i="1" s="1" a="1"/>
  <c r="F45" i="1" s="1"/>
  <c r="F44" i="1" s="1" a="1"/>
  <c r="F44" i="1" s="1"/>
  <c r="F43" i="1" s="1" a="1"/>
  <c r="F43" i="1" s="1"/>
  <c r="F42" i="1" s="1" a="1"/>
  <c r="F42" i="1" s="1"/>
  <c r="F41" i="1" s="1" a="1"/>
  <c r="F41" i="1" s="1"/>
  <c r="F40" i="1" s="1" a="1"/>
  <c r="F40" i="1" s="1"/>
  <c r="F39" i="1" s="1" a="1"/>
  <c r="F39" i="1" s="1"/>
  <c r="F38" i="1" s="1" a="1"/>
  <c r="F38" i="1" s="1"/>
  <c r="F37" i="1" s="1" a="1"/>
  <c r="F37" i="1" s="1"/>
  <c r="F36" i="1" s="1" a="1"/>
  <c r="F36" i="1" s="1"/>
  <c r="F35" i="1" s="1" a="1"/>
  <c r="F35" i="1" s="1"/>
  <c r="F34" i="1" s="1" a="1"/>
  <c r="F34" i="1" s="1"/>
  <c r="F33" i="1" s="1" a="1"/>
  <c r="F33" i="1" s="1"/>
  <c r="F32" i="1" s="1" a="1"/>
  <c r="F32" i="1" s="1"/>
  <c r="F31" i="1" s="1" a="1"/>
  <c r="F31" i="1" s="1"/>
  <c r="F30" i="1" s="1" a="1"/>
  <c r="F30" i="1" s="1"/>
  <c r="F29" i="1" s="1" a="1"/>
  <c r="F29" i="1" s="1"/>
  <c r="F28" i="1" s="1" a="1"/>
  <c r="F28" i="1" s="1"/>
  <c r="F27" i="1" s="1" a="1"/>
  <c r="F27" i="1" s="1"/>
  <c r="F26" i="1" s="1" a="1"/>
  <c r="F26" i="1" s="1"/>
  <c r="F25" i="1" s="1" a="1"/>
  <c r="F25" i="1" s="1"/>
  <c r="F24" i="1" s="1" a="1"/>
  <c r="F24" i="1" s="1"/>
  <c r="F23" i="1" s="1" a="1"/>
  <c r="F23" i="1" s="1"/>
  <c r="F22" i="1" s="1" a="1"/>
  <c r="F22" i="1" s="1"/>
  <c r="F21" i="1" s="1" a="1"/>
  <c r="F21" i="1" s="1"/>
  <c r="F20" i="1" s="1" a="1"/>
  <c r="F20" i="1" s="1"/>
  <c r="F19" i="1" s="1" a="1"/>
  <c r="F19" i="1" s="1"/>
  <c r="F18" i="1" s="1" a="1"/>
  <c r="F18" i="1" s="1"/>
  <c r="F17" i="1" s="1" a="1"/>
  <c r="F17" i="1" s="1"/>
  <c r="F16" i="1" s="1" a="1"/>
  <c r="F16" i="1" s="1"/>
  <c r="F15" i="1" s="1" a="1"/>
  <c r="F15" i="1" s="1"/>
  <c r="F14" i="1" s="1" a="1"/>
  <c r="F14" i="1" s="1"/>
  <c r="F13" i="1" s="1" a="1"/>
  <c r="F13" i="1" s="1"/>
  <c r="F12" i="1" s="1" a="1"/>
  <c r="F1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<sst xmlns="http://schemas.openxmlformats.org/spreadsheetml/2006/main" count="463" uniqueCount="462">
  <si>
    <t>Daikin280</t>
  </si>
  <si>
    <t>HdrSpace</t>
  </si>
  <si>
    <t>HdrMark</t>
  </si>
  <si>
    <t>BitMark</t>
  </si>
  <si>
    <t>OneSpace</t>
  </si>
  <si>
    <t>ZeroSpace</t>
  </si>
  <si>
    <t>Gap</t>
  </si>
  <si>
    <t>Protocol</t>
  </si>
  <si>
    <t>Section</t>
  </si>
  <si>
    <t>Value(us)</t>
  </si>
  <si>
    <t>Tolerance(%)</t>
  </si>
  <si>
    <t>Tolerance(+x%)</t>
  </si>
  <si>
    <t>Tolerance(-x%)</t>
  </si>
  <si>
    <t>0x11DA27F00000000211DA270000313A00A0000000000000C00000DD</t>
  </si>
  <si>
    <t>RAW Value (us) - 1</t>
  </si>
  <si>
    <t>RAW Value (us) - 227</t>
  </si>
  <si>
    <t>RAW Value (us) - 222</t>
  </si>
  <si>
    <t>RAW Value (us) - 209</t>
  </si>
  <si>
    <t>RAW Value (us) - 224</t>
  </si>
  <si>
    <t>RAW Value (us) - 207</t>
  </si>
  <si>
    <t>RAW Value (us) - 221</t>
  </si>
  <si>
    <t>RAW Value (us) - 210</t>
  </si>
  <si>
    <t>RAW Value (us) - 223</t>
  </si>
  <si>
    <t>RAW Value (us) - 208</t>
  </si>
  <si>
    <t>RAW Value (us) - 225</t>
  </si>
  <si>
    <t>RAW Value (us) - 206</t>
  </si>
  <si>
    <t>RAW Value (us) - 211</t>
  </si>
  <si>
    <t>RAW Value (us) - 220</t>
  </si>
  <si>
    <t>RAW Value (us) - 204</t>
  </si>
  <si>
    <t>RAW Value (us) - 2</t>
  </si>
  <si>
    <t>RAW Value (us) - 3</t>
  </si>
  <si>
    <t>RAW Value (us) - 7</t>
  </si>
  <si>
    <t>RAW Value (us) - 6</t>
  </si>
  <si>
    <t>RAW Value (us) - 9</t>
  </si>
  <si>
    <t>RAW Value (us) - 4</t>
  </si>
  <si>
    <t>RAW Value (us) - 8</t>
  </si>
  <si>
    <t>RAW Value (us) - 5</t>
  </si>
  <si>
    <t>RAW Value (us) - 10</t>
  </si>
  <si>
    <t>RAW Value (us) - 11</t>
  </si>
  <si>
    <t>RAW Value (us) - 12</t>
  </si>
  <si>
    <t>RAW Value (us) - 13</t>
  </si>
  <si>
    <t>RAW Value (us) - 14</t>
  </si>
  <si>
    <t>RAW Value (us) - 15</t>
  </si>
  <si>
    <t>RAW Value (us) - 16</t>
  </si>
  <si>
    <t>RAW Value (us) - 17</t>
  </si>
  <si>
    <t>RAW Value (us) - 18</t>
  </si>
  <si>
    <t>RAW Value (us) - 19</t>
  </si>
  <si>
    <t>RAW Value (us) - 20</t>
  </si>
  <si>
    <t>RAW Value (us) - 21</t>
  </si>
  <si>
    <t>RAW Value (us) - 22</t>
  </si>
  <si>
    <t>RAW Value (us) - 23</t>
  </si>
  <si>
    <t>RAW Value (us) - 24</t>
  </si>
  <si>
    <t>RAW Value (us) - 25</t>
  </si>
  <si>
    <t>RAW Value (us) - 26</t>
  </si>
  <si>
    <t>RAW Value (us) - 27</t>
  </si>
  <si>
    <t>RAW Value (us) - 28</t>
  </si>
  <si>
    <t>RAW Value (us) - 29</t>
  </si>
  <si>
    <t>RAW Value (us) - 30</t>
  </si>
  <si>
    <t>RAW Value (us) - 31</t>
  </si>
  <si>
    <t>RAW Value (us) - 32</t>
  </si>
  <si>
    <t>RAW Value (us) - 33</t>
  </si>
  <si>
    <t>RAW Value (us) - 34</t>
  </si>
  <si>
    <t>RAW Value (us) - 35</t>
  </si>
  <si>
    <t>RAW Value (us) - 36</t>
  </si>
  <si>
    <t>RAW Value (us) - 37</t>
  </si>
  <si>
    <t>RAW Value (us) - 38</t>
  </si>
  <si>
    <t>RAW Value (us) - 39</t>
  </si>
  <si>
    <t>RAW Value (us) - 40</t>
  </si>
  <si>
    <t>RAW Value (us) - 41</t>
  </si>
  <si>
    <t>RAW Value (us) - 42</t>
  </si>
  <si>
    <t>RAW Value (us) - 43</t>
  </si>
  <si>
    <t>RAW Value (us) - 44</t>
  </si>
  <si>
    <t>RAW Value (us) - 45</t>
  </si>
  <si>
    <t>RAW Value (us) - 46</t>
  </si>
  <si>
    <t>RAW Value (us) - 47</t>
  </si>
  <si>
    <t>RAW Value (us) - 48</t>
  </si>
  <si>
    <t>RAW Value (us) - 49</t>
  </si>
  <si>
    <t>RAW Value (us) - 50</t>
  </si>
  <si>
    <t>RAW Value (us) - 51</t>
  </si>
  <si>
    <t>RAW Value (us) - 52</t>
  </si>
  <si>
    <t>RAW Value (us) - 53</t>
  </si>
  <si>
    <t>RAW Value (us) - 54</t>
  </si>
  <si>
    <t>RAW Value (us) - 55</t>
  </si>
  <si>
    <t>RAW Value (us) - 56</t>
  </si>
  <si>
    <t>RAW Value (us) - 57</t>
  </si>
  <si>
    <t>RAW Value (us) - 58</t>
  </si>
  <si>
    <t>RAW Value (us) - 59</t>
  </si>
  <si>
    <t>RAW Value (us) - 60</t>
  </si>
  <si>
    <t>RAW Value (us) - 61</t>
  </si>
  <si>
    <t>RAW Value (us) - 62</t>
  </si>
  <si>
    <t>RAW Value (us) - 63</t>
  </si>
  <si>
    <t>RAW Value (us) - 64</t>
  </si>
  <si>
    <t>RAW Value (us) - 65</t>
  </si>
  <si>
    <t>RAW Value (us) - 66</t>
  </si>
  <si>
    <t>RAW Value (us) - 67</t>
  </si>
  <si>
    <t>RAW Value (us) - 68</t>
  </si>
  <si>
    <t>RAW Value (us) - 69</t>
  </si>
  <si>
    <t>RAW Value (us) - 70</t>
  </si>
  <si>
    <t>RAW Value (us) - 71</t>
  </si>
  <si>
    <t>RAW Value (us) - 72</t>
  </si>
  <si>
    <t>RAW Value (us) - 73</t>
  </si>
  <si>
    <t>RAW Value (us) - 74</t>
  </si>
  <si>
    <t>RAW Value (us) - 75</t>
  </si>
  <si>
    <t>RAW Value (us) - 76</t>
  </si>
  <si>
    <t>RAW Value (us) - 77</t>
  </si>
  <si>
    <t>RAW Value (us) - 78</t>
  </si>
  <si>
    <t>RAW Value (us) - 79</t>
  </si>
  <si>
    <t>RAW Value (us) - 80</t>
  </si>
  <si>
    <t>RAW Value (us) - 81</t>
  </si>
  <si>
    <t>RAW Value (us) - 82</t>
  </si>
  <si>
    <t>RAW Value (us) - 83</t>
  </si>
  <si>
    <t>RAW Value (us) - 84</t>
  </si>
  <si>
    <t>RAW Value (us) - 85</t>
  </si>
  <si>
    <t>RAW Value (us) - 86</t>
  </si>
  <si>
    <t>RAW Value (us) - 87</t>
  </si>
  <si>
    <t>RAW Value (us) - 88</t>
  </si>
  <si>
    <t>RAW Value (us) - 89</t>
  </si>
  <si>
    <t>RAW Value (us) - 90</t>
  </si>
  <si>
    <t>RAW Value (us) - 91</t>
  </si>
  <si>
    <t>RAW Value (us) - 92</t>
  </si>
  <si>
    <t>RAW Value (us) - 93</t>
  </si>
  <si>
    <t>RAW Value (us) - 94</t>
  </si>
  <si>
    <t>RAW Value (us) - 95</t>
  </si>
  <si>
    <t>RAW Value (us) - 96</t>
  </si>
  <si>
    <t>RAW Value (us) - 97</t>
  </si>
  <si>
    <t>RAW Value (us) - 98</t>
  </si>
  <si>
    <t>RAW Value (us) - 99</t>
  </si>
  <si>
    <t>RAW Value (us) - 100</t>
  </si>
  <si>
    <t>RAW Value (us) - 101</t>
  </si>
  <si>
    <t>RAW Value (us) - 102</t>
  </si>
  <si>
    <t>RAW Value (us) - 103</t>
  </si>
  <si>
    <t>RAW Value (us) - 104</t>
  </si>
  <si>
    <t>RAW Value (us) - 105</t>
  </si>
  <si>
    <t>RAW Value (us) - 106</t>
  </si>
  <si>
    <t>RAW Value (us) - 107</t>
  </si>
  <si>
    <t>RAW Value (us) - 108</t>
  </si>
  <si>
    <t>RAW Value (us) - 109</t>
  </si>
  <si>
    <t>RAW Value (us) - 110</t>
  </si>
  <si>
    <t>RAW Value (us) - 111</t>
  </si>
  <si>
    <t>RAW Value (us) - 112</t>
  </si>
  <si>
    <t>RAW Value (us) - 113</t>
  </si>
  <si>
    <t>RAW Value (us) - 114</t>
  </si>
  <si>
    <t>RAW Value (us) - 115</t>
  </si>
  <si>
    <t>RAW Value (us) - 116</t>
  </si>
  <si>
    <t>RAW Value (us) - 117</t>
  </si>
  <si>
    <t>RAW Value (us) - 118</t>
  </si>
  <si>
    <t>RAW Value (us) - 119</t>
  </si>
  <si>
    <t>RAW Value (us) - 120</t>
  </si>
  <si>
    <t>RAW Value (us) - 121</t>
  </si>
  <si>
    <t>RAW Value (us) - 122</t>
  </si>
  <si>
    <t>RAW Value (us) - 123</t>
  </si>
  <si>
    <t>RAW Value (us) - 124</t>
  </si>
  <si>
    <t>RAW Value (us) - 125</t>
  </si>
  <si>
    <t>RAW Value (us) - 126</t>
  </si>
  <si>
    <t>RAW Value (us) - 127</t>
  </si>
  <si>
    <t>RAW Value (us) - 128</t>
  </si>
  <si>
    <t>RAW Value (us) - 129</t>
  </si>
  <si>
    <t>RAW Value (us) - 130</t>
  </si>
  <si>
    <t>RAW Value (us) - 131</t>
  </si>
  <si>
    <t>RAW Value (us) - 132</t>
  </si>
  <si>
    <t>RAW Value (us) - 133</t>
  </si>
  <si>
    <t>RAW Value (us) - 134</t>
  </si>
  <si>
    <t>RAW Value (us) - 135</t>
  </si>
  <si>
    <t>RAW Value (us) - 136</t>
  </si>
  <si>
    <t>RAW Value (us) - 137</t>
  </si>
  <si>
    <t>RAW Value (us) - 138</t>
  </si>
  <si>
    <t>RAW Value (us) - 139</t>
  </si>
  <si>
    <t>RAW Value (us) - 140</t>
  </si>
  <si>
    <t>RAW Value (us) - 141</t>
  </si>
  <si>
    <t>RAW Value (us) - 142</t>
  </si>
  <si>
    <t>RAW Value (us) - 143</t>
  </si>
  <si>
    <t>RAW Value (us) - 144</t>
  </si>
  <si>
    <t>RAW Value (us) - 145</t>
  </si>
  <si>
    <t>RAW Value (us) - 146</t>
  </si>
  <si>
    <t>RAW Value (us) - 147</t>
  </si>
  <si>
    <t>RAW Value (us) - 148</t>
  </si>
  <si>
    <t>RAW Value (us) - 149</t>
  </si>
  <si>
    <t>RAW Value (us) - 150</t>
  </si>
  <si>
    <t>RAW Value (us) - 151</t>
  </si>
  <si>
    <t>RAW Value (us) - 152</t>
  </si>
  <si>
    <t>RAW Value (us) - 153</t>
  </si>
  <si>
    <t>RAW Value (us) - 154</t>
  </si>
  <si>
    <t>RAW Value (us) - 155</t>
  </si>
  <si>
    <t>RAW Value (us) - 156</t>
  </si>
  <si>
    <t>RAW Value (us) - 157</t>
  </si>
  <si>
    <t>RAW Value (us) - 158</t>
  </si>
  <si>
    <t>RAW Value (us) - 159</t>
  </si>
  <si>
    <t>RAW Value (us) - 160</t>
  </si>
  <si>
    <t>RAW Value (us) - 161</t>
  </si>
  <si>
    <t>RAW Value (us) - 162</t>
  </si>
  <si>
    <t>RAW Value (us) - 163</t>
  </si>
  <si>
    <t>RAW Value (us) - 164</t>
  </si>
  <si>
    <t>RAW Value (us) - 165</t>
  </si>
  <si>
    <t>RAW Value (us) - 166</t>
  </si>
  <si>
    <t>RAW Value (us) - 167</t>
  </si>
  <si>
    <t>RAW Value (us) - 168</t>
  </si>
  <si>
    <t>RAW Value (us) - 169</t>
  </si>
  <si>
    <t>RAW Value (us) - 170</t>
  </si>
  <si>
    <t>RAW Value (us) - 171</t>
  </si>
  <si>
    <t>RAW Value (us) - 172</t>
  </si>
  <si>
    <t>RAW Value (us) - 173</t>
  </si>
  <si>
    <t>RAW Value (us) - 174</t>
  </si>
  <si>
    <t>RAW Value (us) - 175</t>
  </si>
  <si>
    <t>RAW Value (us) - 176</t>
  </si>
  <si>
    <t>RAW Value (us) - 177</t>
  </si>
  <si>
    <t>RAW Value (us) - 178</t>
  </si>
  <si>
    <t>RAW Value (us) - 179</t>
  </si>
  <si>
    <t>RAW Value (us) - 180</t>
  </si>
  <si>
    <t>RAW Value (us) - 181</t>
  </si>
  <si>
    <t>RAW Value (us) - 182</t>
  </si>
  <si>
    <t>RAW Value (us) - 183</t>
  </si>
  <si>
    <t>RAW Value (us) - 184</t>
  </si>
  <si>
    <t>RAW Value (us) - 185</t>
  </si>
  <si>
    <t>RAW Value (us) - 186</t>
  </si>
  <si>
    <t>RAW Value (us) - 187</t>
  </si>
  <si>
    <t>RAW Value (us) - 188</t>
  </si>
  <si>
    <t>RAW Value (us) - 189</t>
  </si>
  <si>
    <t>RAW Value (us) - 190</t>
  </si>
  <si>
    <t>RAW Value (us) - 191</t>
  </si>
  <si>
    <t>RAW Value (us) - 192</t>
  </si>
  <si>
    <t>RAW Value (us) - 193</t>
  </si>
  <si>
    <t>RAW Value (us) - 194</t>
  </si>
  <si>
    <t>RAW Value (us) - 195</t>
  </si>
  <si>
    <t>RAW Value (us) - 196</t>
  </si>
  <si>
    <t>RAW Value (us) - 197</t>
  </si>
  <si>
    <t>RAW Value (us) - 198</t>
  </si>
  <si>
    <t>RAW Value (us) - 199</t>
  </si>
  <si>
    <t>RAW Value (us) - 200</t>
  </si>
  <si>
    <t>RAW Value (us) - 201</t>
  </si>
  <si>
    <t>RAW Value (us) - 202</t>
  </si>
  <si>
    <t>RAW Value (us) - 203</t>
  </si>
  <si>
    <t>RAW Value (us) - 205</t>
  </si>
  <si>
    <t>RAW Value (us) - 212</t>
  </si>
  <si>
    <t>RAW Value (us) - 213</t>
  </si>
  <si>
    <t>RAW Value (us) - 214</t>
  </si>
  <si>
    <t>RAW Value (us) - 215</t>
  </si>
  <si>
    <t>RAW Value (us) - 216</t>
  </si>
  <si>
    <t>RAW Value (us) - 217</t>
  </si>
  <si>
    <t>RAW Value (us) - 218</t>
  </si>
  <si>
    <t>RAW Value (us) - 219</t>
  </si>
  <si>
    <t>RAW Value (us) - 226</t>
  </si>
  <si>
    <t>RAW Value (us) - 228</t>
  </si>
  <si>
    <t>RAW Value (us) - 229</t>
  </si>
  <si>
    <t>RAW Value (us) - 230</t>
  </si>
  <si>
    <t>RAW Value (us) - 231</t>
  </si>
  <si>
    <t>RAW Value (us) - 232</t>
  </si>
  <si>
    <t>RAW Value (us) - 233</t>
  </si>
  <si>
    <t>RAW Value (us) - 234</t>
  </si>
  <si>
    <t>RAW Value (us) - 235</t>
  </si>
  <si>
    <t>RAW Value (us) - 236</t>
  </si>
  <si>
    <t>RAW Value (us) - 237</t>
  </si>
  <si>
    <t>RAW Value (us) - 238</t>
  </si>
  <si>
    <t>RAW Value (us) - 239</t>
  </si>
  <si>
    <t>RAW Value (us) - 240</t>
  </si>
  <si>
    <t>RAW Value (us) - 241</t>
  </si>
  <si>
    <t>RAW Value (us) - 242</t>
  </si>
  <si>
    <t>RAW Value (us) - 243</t>
  </si>
  <si>
    <t>RAW Value (us) - 244</t>
  </si>
  <si>
    <t>RAW Value (us) - 245</t>
  </si>
  <si>
    <t>RAW Value (us) - 246</t>
  </si>
  <si>
    <t>RAW Value (us) - 247</t>
  </si>
  <si>
    <t>RAW Value (us) - 248</t>
  </si>
  <si>
    <t>RAW Value (us) - 249</t>
  </si>
  <si>
    <t>RAW Value (us) - 250</t>
  </si>
  <si>
    <t>RAW Value (us) - 251</t>
  </si>
  <si>
    <t>RAW Value (us) - 252</t>
  </si>
  <si>
    <t>RAW Value (us) - 253</t>
  </si>
  <si>
    <t>RAW Value (us) - 254</t>
  </si>
  <si>
    <t>RAW Value (us) - 255</t>
  </si>
  <si>
    <t>RAW Value (us) - 256</t>
  </si>
  <si>
    <t>RAW Value (us) - 257</t>
  </si>
  <si>
    <t>RAW Value (us) - 258</t>
  </si>
  <si>
    <t>RAW Value (us) - 259</t>
  </si>
  <si>
    <t>RAW Value (us) - 260</t>
  </si>
  <si>
    <t>RAW Value (us) - 261</t>
  </si>
  <si>
    <t>RAW Value (us) - 262</t>
  </si>
  <si>
    <t>RAW Value (us) - 263</t>
  </si>
  <si>
    <t>RAW Value (us) - 264</t>
  </si>
  <si>
    <t>RAW Value (us) - 265</t>
  </si>
  <si>
    <t>RAW Value (us) - 266</t>
  </si>
  <si>
    <t>RAW Value (us) - 267</t>
  </si>
  <si>
    <t>RAW Value (us) - 268</t>
  </si>
  <si>
    <t>RAW Value (us) - 269</t>
  </si>
  <si>
    <t>RAW Value (us) - 270</t>
  </si>
  <si>
    <t>RAW Value (us) - 271</t>
  </si>
  <si>
    <t>RAW Value (us) - 272</t>
  </si>
  <si>
    <t>RAW Value (us) - 273</t>
  </si>
  <si>
    <t>RAW Value (us) - 274</t>
  </si>
  <si>
    <t>RAW Value (us) - 275</t>
  </si>
  <si>
    <t>RAW Value (us) - 276</t>
  </si>
  <si>
    <t>RAW Value (us) - 277</t>
  </si>
  <si>
    <t>RAW Value (us) - 278</t>
  </si>
  <si>
    <t>RAW Value (us) - 279</t>
  </si>
  <si>
    <t>RAW Value (us) - 280</t>
  </si>
  <si>
    <t>RAW Value (us) - 281</t>
  </si>
  <si>
    <t>RAW Value (us) - 282</t>
  </si>
  <si>
    <t>RAW Value (us) - 283</t>
  </si>
  <si>
    <t>RAW Value (us) - 284</t>
  </si>
  <si>
    <t>RAW Value (us) - 285</t>
  </si>
  <si>
    <t>RAW Value (us) - 286</t>
  </si>
  <si>
    <t>RAW Value (us) - 287</t>
  </si>
  <si>
    <t>RAW Value (us) - 288</t>
  </si>
  <si>
    <t>RAW Value (us) - 289</t>
  </si>
  <si>
    <t>RAW Value (us) - 290</t>
  </si>
  <si>
    <t>RAW Value (us) - 291</t>
  </si>
  <si>
    <t>RAW Value (us) - 292</t>
  </si>
  <si>
    <t>RAW Value (us) - 293</t>
  </si>
  <si>
    <t>RAW Value (us) - 294</t>
  </si>
  <si>
    <t>RAW Value (us) - 295</t>
  </si>
  <si>
    <t>RAW Value (us) - 296</t>
  </si>
  <si>
    <t>RAW Value (us) - 297</t>
  </si>
  <si>
    <t>RAW Value (us) - 298</t>
  </si>
  <si>
    <t>RAW Value (us) - 299</t>
  </si>
  <si>
    <t>RAW Value (us) - 300</t>
  </si>
  <si>
    <t>RAW Value (us) - 301</t>
  </si>
  <si>
    <t>RAW Value (us) - 302</t>
  </si>
  <si>
    <t>RAW Value (us) - 303</t>
  </si>
  <si>
    <t>RAW Value (us) - 304</t>
  </si>
  <si>
    <t>RAW Value (us) - 305</t>
  </si>
  <si>
    <t>RAW Value (us) - 306</t>
  </si>
  <si>
    <t>RAW Value (us) - 307</t>
  </si>
  <si>
    <t>RAW Value (us) - 308</t>
  </si>
  <si>
    <t>RAW Value (us) - 309</t>
  </si>
  <si>
    <t>RAW Value (us) - 310</t>
  </si>
  <si>
    <t>RAW Value (us) - 311</t>
  </si>
  <si>
    <t>RAW Value (us) - 312</t>
  </si>
  <si>
    <t>RAW Value (us) - 313</t>
  </si>
  <si>
    <t>RAW Value (us) - 314</t>
  </si>
  <si>
    <t>RAW Value (us) - 315</t>
  </si>
  <si>
    <t>RAW Value (us) - 316</t>
  </si>
  <si>
    <t>RAW Value (us) - 317</t>
  </si>
  <si>
    <t>RAW Value (us) - 318</t>
  </si>
  <si>
    <t>RAW Value (us) - 319</t>
  </si>
  <si>
    <t>RAW Value (us) - 320</t>
  </si>
  <si>
    <t>RAW Value (us) - 321</t>
  </si>
  <si>
    <t>RAW Value (us) - 322</t>
  </si>
  <si>
    <t>RAW Value (us) - 323</t>
  </si>
  <si>
    <t>RAW Value (us) - 324</t>
  </si>
  <si>
    <t>RAW Value (us) - 325</t>
  </si>
  <si>
    <t>RAW Value (us) - 326</t>
  </si>
  <si>
    <t>RAW Value (us) - 327</t>
  </si>
  <si>
    <t>RAW Value (us) - 328</t>
  </si>
  <si>
    <t>RAW Value (us) - 329</t>
  </si>
  <si>
    <t>RAW Value (us) - 330</t>
  </si>
  <si>
    <t>RAW Value (us) - 331</t>
  </si>
  <si>
    <t>RAW Value (us) - 332</t>
  </si>
  <si>
    <t>RAW Value (us) - 333</t>
  </si>
  <si>
    <t>RAW Value (us) - 334</t>
  </si>
  <si>
    <t>RAW Value (us) - 335</t>
  </si>
  <si>
    <t>RAW Value (us) - 336</t>
  </si>
  <si>
    <t>RAW Value (us) - 337</t>
  </si>
  <si>
    <t>RAW Value (us) - 338</t>
  </si>
  <si>
    <t>RAW Value (us) - 339</t>
  </si>
  <si>
    <t>RAW Value (us) - 340</t>
  </si>
  <si>
    <t>RAW Value (us) - 341</t>
  </si>
  <si>
    <t>RAW Value (us) - 342</t>
  </si>
  <si>
    <t>RAW Value (us) - 343</t>
  </si>
  <si>
    <t>RAW Value (us) - 344</t>
  </si>
  <si>
    <t>RAW Value (us) - 345</t>
  </si>
  <si>
    <t>RAW Value (us) - 346</t>
  </si>
  <si>
    <t>RAW Value (us) - 347</t>
  </si>
  <si>
    <t>RAW Value (us) - 348</t>
  </si>
  <si>
    <t>RAW Value (us) - 349</t>
  </si>
  <si>
    <t>RAW Value (us) - 350</t>
  </si>
  <si>
    <t>RAW Value (us) - 351</t>
  </si>
  <si>
    <t>RAW Value (us) - 352</t>
  </si>
  <si>
    <t>RAW Value (us) - 353</t>
  </si>
  <si>
    <t>RAW Value (us) - 354</t>
  </si>
  <si>
    <t>RAW Value (us) - 355</t>
  </si>
  <si>
    <t>RAW Value (us) - 356</t>
  </si>
  <si>
    <t>RAW Value (us) - 357</t>
  </si>
  <si>
    <t>RAW Value (us) - 358</t>
  </si>
  <si>
    <t>RAW Value (us) - 359</t>
  </si>
  <si>
    <t>RAW Value (us) - 360</t>
  </si>
  <si>
    <t>RAW Value (us) - 361</t>
  </si>
  <si>
    <t>RAW Value (us) - 362</t>
  </si>
  <si>
    <t>RAW Value (us) - 363</t>
  </si>
  <si>
    <t>RAW Value (us) - 364</t>
  </si>
  <si>
    <t>RAW Value (us) - 365</t>
  </si>
  <si>
    <t>RAW Value (us) - 366</t>
  </si>
  <si>
    <t>RAW Value (us) - 367</t>
  </si>
  <si>
    <t>RAW Value (us) - 368</t>
  </si>
  <si>
    <t>RAW Value (us) - 369</t>
  </si>
  <si>
    <t>RAW Value (us) - 370</t>
  </si>
  <si>
    <t>RAW Value (us) - 371</t>
  </si>
  <si>
    <t>RAW Value (us) - 372</t>
  </si>
  <si>
    <t>RAW Value (us) - 373</t>
  </si>
  <si>
    <t>RAW Value (us) - 374</t>
  </si>
  <si>
    <t>RAW Value (us) - 375</t>
  </si>
  <si>
    <t>RAW Value (us) - 376</t>
  </si>
  <si>
    <t>RAW Value (us) - 377</t>
  </si>
  <si>
    <t>RAW Value (us) - 378</t>
  </si>
  <si>
    <t>RAW Value (us) - 379</t>
  </si>
  <si>
    <t>RAW Value (us) - 380</t>
  </si>
  <si>
    <t>RAW Value (us) - 381</t>
  </si>
  <si>
    <t>RAW Value (us) - 382</t>
  </si>
  <si>
    <t>RAW Value (us) - 383</t>
  </si>
  <si>
    <t>RAW Value (us) - 384</t>
  </si>
  <si>
    <t>RAW Value (us) - 385</t>
  </si>
  <si>
    <t>RAW Value (us) - 386</t>
  </si>
  <si>
    <t>RAW Value (us) - 387</t>
  </si>
  <si>
    <t>RAW Value (us) - 388</t>
  </si>
  <si>
    <t>RAW Value (us) - 389</t>
  </si>
  <si>
    <t>RAW Value (us) - 390</t>
  </si>
  <si>
    <t>RAW Value (us) - 391</t>
  </si>
  <si>
    <t>RAW Value (us) - 392</t>
  </si>
  <si>
    <t>RAW Value (us) - 393</t>
  </si>
  <si>
    <t>RAW Value (us) - 394</t>
  </si>
  <si>
    <t>RAW Value (us) - 395</t>
  </si>
  <si>
    <t>RAW Value (us) - 396</t>
  </si>
  <si>
    <t>RAW Value (us) - 397</t>
  </si>
  <si>
    <t>RAW Value (us) - 398</t>
  </si>
  <si>
    <t>RAW Value (us) - 399</t>
  </si>
  <si>
    <t>RAW Value (us) - 400</t>
  </si>
  <si>
    <t>RAW Value (us) - 401</t>
  </si>
  <si>
    <t>RAW Value (us) - 402</t>
  </si>
  <si>
    <t>RAW Value (us) - 403</t>
  </si>
  <si>
    <t>RAW Value (us) - 404</t>
  </si>
  <si>
    <t>RAW Value (us) - 405</t>
  </si>
  <si>
    <t>RAW Value (us) - 406</t>
  </si>
  <si>
    <t>RAW Value (us) - 407</t>
  </si>
  <si>
    <t>RAW Value (us) - 408</t>
  </si>
  <si>
    <t>RAW Value (us) - 409</t>
  </si>
  <si>
    <t>RAW Value (us) - 410</t>
  </si>
  <si>
    <t>RAW Value (us) - 411</t>
  </si>
  <si>
    <t>RAW Value (us) - 412</t>
  </si>
  <si>
    <t>RAW Value (us) - 413</t>
  </si>
  <si>
    <t>RAW Value (us) - 414</t>
  </si>
  <si>
    <t>RAW Value (us) - 415</t>
  </si>
  <si>
    <t>RAW Value (us) - 416</t>
  </si>
  <si>
    <t>RAW Value (us) - 417</t>
  </si>
  <si>
    <t>RAW Value (us) - 418</t>
  </si>
  <si>
    <t>RAW Value (us) - 419</t>
  </si>
  <si>
    <t>RAW Value (us) - 420</t>
  </si>
  <si>
    <t>RAW Value (us) - 421</t>
  </si>
  <si>
    <t>RAW Value (us) - 422</t>
  </si>
  <si>
    <t>RAW Value (us) - 423</t>
  </si>
  <si>
    <t>RAW Value (us) - 424</t>
  </si>
  <si>
    <t>RAW Value (us) - 425</t>
  </si>
  <si>
    <t>RAW Value (us) - 426</t>
  </si>
  <si>
    <t>RAW Value (us) - 427</t>
  </si>
  <si>
    <t>RAW Value (us) - 428</t>
  </si>
  <si>
    <t>RAW Value (us) - 429</t>
  </si>
  <si>
    <t>RAW Value (us) - 430</t>
  </si>
  <si>
    <t>RAW Value (us) - 431</t>
  </si>
  <si>
    <t>RAW Value (us) - 432</t>
  </si>
  <si>
    <t>RAW Value (us) - 433</t>
  </si>
  <si>
    <t>RAW Value (us) - 434</t>
  </si>
  <si>
    <t>RAW Value (us) - 435</t>
  </si>
  <si>
    <t>RAW Value (us) - 436</t>
  </si>
  <si>
    <t>RAW Value (us) - 437</t>
  </si>
  <si>
    <t>RAW Value (us) - 438</t>
  </si>
  <si>
    <t>RAW Value (us) - 439</t>
  </si>
  <si>
    <t>RAW Value (us) - 440</t>
  </si>
  <si>
    <t>Annotated</t>
  </si>
  <si>
    <t>Transmitted</t>
  </si>
  <si>
    <t>Receivied</t>
  </si>
  <si>
    <t>Received X2</t>
  </si>
  <si>
    <t>Decoded (sample)</t>
  </si>
  <si>
    <t>None</t>
  </si>
  <si>
    <t>8000000000000000000000000001000027DA1102000000F027DA11</t>
  </si>
  <si>
    <t>11DA27F00000000211DA2700000100000000000000000000000080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</si>
</sst>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1" fillId="2" borderId="9" xfId="0" applyFont="1" applyFill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ill="1" applyBorder="1" applyAlignment="1"/>
    <xf numFmtId="0" fontId="1" fillId="3" borderId="12" xfId="0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0C15-D256-44E8-8AF6-1A7E46DAF671}">
  <dimension ref="A1:N450"/>
  <sheetViews>
    <sheetView tabSelected="1" zoomScale="94" zoomScaleNormal="85" workbookViewId="0">
      <selection activeCell="K28" sqref="K28"/>
    </sheetView>
  </sheetViews>
  <sheetFormatPr defaultRowHeight="15" x14ac:dyDescent="0.25"/>
  <cols>
    <col min="1" max="1" width="12.85546875" style="1" bestFit="1" customWidth="1"/>
    <col min="2" max="2" width="19.5703125" style="1" bestFit="1" customWidth="1"/>
    <col min="3" max="3" width="17.28515625" style="1" bestFit="1" customWidth="1"/>
    <col min="4" max="4" width="16.7109375" style="1" bestFit="1" customWidth="1"/>
    <col min="5" max="5" width="16.7109375" style="1" customWidth="1"/>
    <col min="6" max="6" width="14.42578125" style="1" bestFit="1" customWidth="1"/>
    <col min="8" max="8" width="12.7109375" style="1" bestFit="1" customWidth="1"/>
    <col min="9" max="9" width="9.140625" style="1"/>
    <col min="14" max="14" width="9.42578125" style="1" bestFit="1" customWidth="1"/>
  </cols>
  <sheetData>
    <row r="1" spans="1:12" ht="15.75" thickBot="1" x14ac:dyDescent="0.3">
      <c r="A1" s="22" t="s">
        <v>10</v>
      </c>
      <c r="B1" s="23">
        <v>10</v>
      </c>
      <c r="C1" s="9"/>
      <c r="D1" s="9"/>
      <c r="E1" s="10"/>
      <c r="F1" s="21"/>
    </row>
    <row r="2" spans="1:12" ht="15.75" thickBot="1" x14ac:dyDescent="0.3">
      <c r="A2" s="13" t="s">
        <v>7</v>
      </c>
      <c r="B2" s="6" t="s">
        <v>8</v>
      </c>
      <c r="C2" s="6" t="s">
        <v>9</v>
      </c>
      <c r="D2" s="6" t="s">
        <v>11</v>
      </c>
      <c r="E2" s="7" t="s">
        <v>12</v>
      </c>
    </row>
    <row r="3" spans="1:12" x14ac:dyDescent="0.25">
      <c r="A3" s="4" t="s">
        <v>0</v>
      </c>
      <c r="B3" s="11" t="s">
        <v>2</v>
      </c>
      <c r="C3" s="2">
        <v>3650</v>
      </c>
      <c r="D3" s="2" cm="1">
        <f t="array" ref="D3">C3+(C3*Tolerance)</f>
        <v>4015</v>
      </c>
      <c r="E3" s="2" cm="1">
        <f t="array" ref="E3">C3-(C3*Tolerance)</f>
        <v>3285</v>
      </c>
    </row>
    <row r="4" spans="1:12" x14ac:dyDescent="0.25">
      <c r="A4" s="4"/>
      <c r="B4" s="12" t="s">
        <v>1</v>
      </c>
      <c r="C4" s="3">
        <v>1623</v>
      </c>
      <c r="D4" s="2" cm="1">
        <f t="array" ref="D4">C4+(C4*Tolerance)</f>
        <v>1785.3</v>
      </c>
      <c r="E4" s="2" cm="1">
        <f t="array" ref="E4">C4-(C4*Tolerance)</f>
        <v>1460.7</v>
      </c>
    </row>
    <row r="5" spans="1:12" x14ac:dyDescent="0.25">
      <c r="A5" s="4"/>
      <c r="B5" s="12" t="s">
        <v>3</v>
      </c>
      <c r="C5" s="3">
        <v>428</v>
      </c>
      <c r="D5" s="2" cm="1">
        <f t="array" ref="D5">C5+(C5*Tolerance)</f>
        <v>470.8</v>
      </c>
      <c r="E5" s="2" cm="1">
        <f t="array" ref="E5">C5-(C5*Tolerance)</f>
        <v>385.2</v>
      </c>
    </row>
    <row r="6" spans="1:12" x14ac:dyDescent="0.25">
      <c r="A6" s="4"/>
      <c r="B6" s="12" t="s">
        <v>4</v>
      </c>
      <c r="C6" s="3">
        <v>428</v>
      </c>
      <c r="D6" s="2" cm="1">
        <f t="array" ref="D6">C6+(C6*Tolerance)</f>
        <v>470.8</v>
      </c>
      <c r="E6" s="2" cm="1">
        <f t="array" ref="E6">C6-(C6*Tolerance)</f>
        <v>385.2</v>
      </c>
    </row>
    <row r="7" spans="1:12" x14ac:dyDescent="0.25">
      <c r="A7" s="4"/>
      <c r="B7" s="12" t="s">
        <v>5</v>
      </c>
      <c r="C7" s="3">
        <v>1280</v>
      </c>
      <c r="D7" s="2" cm="1">
        <f t="array" ref="D7">C7+(C7*Tolerance)</f>
        <v>1408</v>
      </c>
      <c r="E7" s="2" cm="1">
        <f t="array" ref="E7">C7-(C7*Tolerance)</f>
        <v>1152</v>
      </c>
    </row>
    <row r="8" spans="1:12" x14ac:dyDescent="0.25">
      <c r="A8" s="4"/>
      <c r="B8" s="14" t="s">
        <v>6</v>
      </c>
      <c r="C8" s="15">
        <v>29000</v>
      </c>
      <c r="D8" s="2" cm="1">
        <f t="array" ref="D8">C8+(C8*Tolerance)</f>
        <v>31900</v>
      </c>
      <c r="E8" s="2" cm="1">
        <f t="array" ref="E8">C8-(C8*Tolerance)</f>
        <v>26100</v>
      </c>
      <c r="L8" t="s">
        <v>461</v>
      </c>
    </row>
    <row r="9" spans="1:12" x14ac:dyDescent="0.25">
      <c r="A9" s="4"/>
      <c r="B9" s="5" t="s">
        <v>458</v>
      </c>
      <c r="C9" s="8" t="s">
        <v>13</v>
      </c>
      <c r="D9" s="8"/>
      <c r="E9" s="8"/>
      <c r="F9" s="8"/>
      <c r="G9" s="8"/>
      <c r="H9" s="8"/>
      <c r="I9" s="8"/>
      <c r="L9" t="s">
        <v>460</v>
      </c>
    </row>
    <row r="10" spans="1:12" x14ac:dyDescent="0.25">
      <c r="A10" s="16"/>
      <c r="B10" s="18"/>
      <c r="C10" s="19" t="s">
        <v>455</v>
      </c>
      <c r="D10" s="20" t="s">
        <v>456</v>
      </c>
      <c r="E10" s="19" t="s">
        <v>457</v>
      </c>
      <c r="F10" s="19" t="s">
        <v>454</v>
      </c>
      <c r="G10" s="17"/>
      <c r="H10" s="17"/>
      <c r="I10" s="17"/>
    </row>
    <row r="11" spans="1:12" x14ac:dyDescent="0.25">
      <c r="B11" s="5" t="s">
        <v>14</v>
      </c>
      <c r="C11" s="3">
        <f>D11*2</f>
        <v>2</v>
      </c>
      <c r="D11" s="3">
        <v>1</v>
      </c>
      <c r="E11" s="3">
        <f>D11*2</f>
        <v>2</v>
      </c>
      <c r="F11" s="3" t="s">
        <v>459</v>
      </c>
    </row>
    <row r="12" spans="1:12" x14ac:dyDescent="0.25">
      <c r="B12" s="5" t="s">
        <v>29</v>
      </c>
      <c r="C12" s="3">
        <v>3458</v>
      </c>
      <c r="D12" s="3">
        <v>1708</v>
      </c>
      <c r="E12" s="3">
        <f t="shared" ref="E12:E75" si="0">D12*2</f>
        <v>3416</v>
      </c>
      <c r="F12" s="3" t="str" cm="1">
        <f t="array" ref="F12">IF(ABS(E12-hdrmark)&lt;(Tolerance*hdrmark),"HdrMark",IF(ABS(E12-hdrspace)&lt;(Tolerance*hdrspace),"HdrSpace",(IF(ABS(E12-gap)&lt;(Tolerance*gap),"Gap",IF(ISNUMBER(SEARCH("BitMark",F13)),IF(ABS(E12-zerospace)&lt;(Tolerance*zerospace),1,0),"BitMark")))))</f>
        <v>HdrMark</v>
      </c>
    </row>
    <row r="13" spans="1:12" ht="15" customHeight="1" x14ac:dyDescent="0.25">
      <c r="B13" s="5" t="s">
        <v>30</v>
      </c>
      <c r="C13" s="3">
        <v>1712</v>
      </c>
      <c r="D13" s="3">
        <v>848</v>
      </c>
      <c r="E13" s="3">
        <f t="shared" si="0"/>
        <v>1696</v>
      </c>
      <c r="F13" s="3" t="str" cm="1">
        <f t="array" ref="F13">IF(ABS(E13-hdrmark)&lt;(Tolerance*hdrmark),"HdrMark",IF(ABS(E13-hdrspace)&lt;(Tolerance*hdrspace),"HdrSpace",(IF(ABS(E13-gap)&lt;(Tolerance*gap),"Gap",IF(ISNUMBER(SEARCH("BitMark",F14)),IF(ABS(E13-zerospace)&lt;(Tolerance*zerospace),1,0),"BitMark")))))</f>
        <v>HdrSpace</v>
      </c>
    </row>
    <row r="14" spans="1:12" ht="15" customHeight="1" x14ac:dyDescent="0.25">
      <c r="B14" s="5" t="s">
        <v>34</v>
      </c>
      <c r="C14" s="3">
        <v>440</v>
      </c>
      <c r="D14" s="3">
        <v>234</v>
      </c>
      <c r="E14" s="3">
        <f t="shared" si="0"/>
        <v>468</v>
      </c>
      <c r="F14" s="3" t="str" cm="1">
        <f t="array" ref="F14">IF(ABS(E14-hdrmark)&lt;(Tolerance*hdrmark),"HdrMark",IF(ABS(E14-hdrspace)&lt;(Tolerance*hdrspace),"HdrSpace",(IF(ABS(E14-gap)&lt;(Tolerance*gap),"Gap",IF(ISNUMBER(SEARCH("BitMark",F15)),IF(ABS(E14-zerospace)&lt;(Tolerance*zerospace),1,0),"BitMark")))))</f>
        <v>BitMark</v>
      </c>
    </row>
    <row r="15" spans="1:12" x14ac:dyDescent="0.25">
      <c r="B15" s="5" t="s">
        <v>36</v>
      </c>
      <c r="C15" s="3">
        <v>1284</v>
      </c>
      <c r="D15" s="3">
        <v>631</v>
      </c>
      <c r="E15" s="3">
        <f t="shared" si="0"/>
        <v>1262</v>
      </c>
      <c r="F15" s="3" cm="1">
        <f t="array" ref="F15">IF(ABS(E15-hdrmark)&lt;(Tolerance*hdrmark),"HdrMark",IF(ABS(E15-hdrspace)&lt;(Tolerance*hdrspace),"HdrSpace",(IF(ABS(E15-gap)&lt;(Tolerance*gap),"Gap",IF(ISNUMBER(SEARCH("BitMark",F16)),IF(ABS(E15-zerospace)&lt;(Tolerance*zerospace),1,0),"BitMark")))))</f>
        <v>1</v>
      </c>
    </row>
    <row r="16" spans="1:12" ht="15" customHeight="1" x14ac:dyDescent="0.25">
      <c r="B16" s="5" t="s">
        <v>32</v>
      </c>
      <c r="C16" s="3">
        <v>448</v>
      </c>
      <c r="D16" s="3">
        <v>239</v>
      </c>
      <c r="E16" s="3">
        <f t="shared" si="0"/>
        <v>478</v>
      </c>
      <c r="F16" s="3" t="str" cm="1">
        <f t="array" ref="F16">IF(ABS(E16-hdrmark)&lt;(Tolerance*hdrmark),"HdrMark",IF(ABS(E16-hdrspace)&lt;(Tolerance*hdrspace),"HdrSpace",(IF(ABS(E16-gap)&lt;(Tolerance*gap),"Gap",IF(ISNUMBER(SEARCH("BitMark",F17)),IF(ABS(E16-zerospace)&lt;(Tolerance*zerospace),1,0),"BitMark")))))</f>
        <v>BitMark</v>
      </c>
    </row>
    <row r="17" spans="2:6" x14ac:dyDescent="0.25">
      <c r="B17" s="5" t="s">
        <v>31</v>
      </c>
      <c r="C17" s="3">
        <v>414</v>
      </c>
      <c r="D17" s="3">
        <v>194</v>
      </c>
      <c r="E17" s="3">
        <f t="shared" si="0"/>
        <v>388</v>
      </c>
      <c r="F17" s="3" cm="1">
        <f t="array" ref="F17">IF(ABS(E17-hdrmark)&lt;(Tolerance*hdrmark),"HdrMark",IF(ABS(E17-hdrspace)&lt;(Tolerance*hdrspace),"HdrSpace",(IF(ABS(E17-gap)&lt;(Tolerance*gap),"Gap",IF(ISNUMBER(SEARCH("BitMark",F18)),IF(ABS(E17-zerospace)&lt;(Tolerance*zerospace),1,0),"BitMark")))))</f>
        <v>0</v>
      </c>
    </row>
    <row r="18" spans="2:6" ht="15" customHeight="1" x14ac:dyDescent="0.25">
      <c r="B18" s="5" t="s">
        <v>35</v>
      </c>
      <c r="C18" s="3">
        <v>442</v>
      </c>
      <c r="D18" s="3">
        <v>236</v>
      </c>
      <c r="E18" s="3">
        <f t="shared" si="0"/>
        <v>472</v>
      </c>
      <c r="F18" s="3" t="str" cm="1">
        <f t="array" ref="F18">IF(ABS(E18-hdrmark)&lt;(Tolerance*hdrmark),"HdrMark",IF(ABS(E18-hdrspace)&lt;(Tolerance*hdrspace),"HdrSpace",(IF(ABS(E18-gap)&lt;(Tolerance*gap),"Gap",IF(ISNUMBER(SEARCH("BitMark",F19)),IF(ABS(E18-zerospace)&lt;(Tolerance*zerospace),1,0),"BitMark")))))</f>
        <v>BitMark</v>
      </c>
    </row>
    <row r="19" spans="2:6" x14ac:dyDescent="0.25">
      <c r="B19" s="5" t="s">
        <v>33</v>
      </c>
      <c r="C19" s="3">
        <v>420</v>
      </c>
      <c r="D19" s="3">
        <v>197</v>
      </c>
      <c r="E19" s="3">
        <f t="shared" si="0"/>
        <v>394</v>
      </c>
      <c r="F19" s="3" cm="1">
        <f t="array" ref="F19">IF(ABS(E19-hdrmark)&lt;(Tolerance*hdrmark),"HdrMark",IF(ABS(E19-hdrspace)&lt;(Tolerance*hdrspace),"HdrSpace",(IF(ABS(E19-gap)&lt;(Tolerance*gap),"Gap",IF(ISNUMBER(SEARCH("BitMark",F20)),IF(ABS(E19-zerospace)&lt;(Tolerance*zerospace),1,0),"BitMark")))))</f>
        <v>0</v>
      </c>
    </row>
    <row r="20" spans="2:6" ht="15" customHeight="1" x14ac:dyDescent="0.25">
      <c r="B20" s="5" t="s">
        <v>37</v>
      </c>
      <c r="C20" s="3">
        <v>446</v>
      </c>
      <c r="D20" s="3">
        <v>238</v>
      </c>
      <c r="E20" s="3">
        <f t="shared" si="0"/>
        <v>476</v>
      </c>
      <c r="F20" s="3" t="str" cm="1">
        <f t="array" ref="F20">IF(ABS(E20-hdrmark)&lt;(Tolerance*hdrmark),"HdrMark",IF(ABS(E20-hdrspace)&lt;(Tolerance*hdrspace),"HdrSpace",(IF(ABS(E20-gap)&lt;(Tolerance*gap),"Gap",IF(ISNUMBER(SEARCH("BitMark",F21)),IF(ABS(E20-zerospace)&lt;(Tolerance*zerospace),1,0),"BitMark")))))</f>
        <v>BitMark</v>
      </c>
    </row>
    <row r="21" spans="2:6" x14ac:dyDescent="0.25">
      <c r="B21" s="5" t="s">
        <v>38</v>
      </c>
      <c r="C21" s="3">
        <v>416</v>
      </c>
      <c r="D21" s="3">
        <v>209</v>
      </c>
      <c r="E21" s="3">
        <f t="shared" si="0"/>
        <v>418</v>
      </c>
      <c r="F21" s="3" cm="1">
        <f t="array" ref="F21">IF(ABS(E21-hdrmark)&lt;(Tolerance*hdrmark),"HdrMark",IF(ABS(E21-hdrspace)&lt;(Tolerance*hdrspace),"HdrSpace",(IF(ABS(E21-gap)&lt;(Tolerance*gap),"Gap",IF(ISNUMBER(SEARCH("BitMark",F22)),IF(ABS(E21-zerospace)&lt;(Tolerance*zerospace),1,0),"BitMark")))))</f>
        <v>0</v>
      </c>
    </row>
    <row r="22" spans="2:6" ht="15" customHeight="1" x14ac:dyDescent="0.25">
      <c r="B22" s="5" t="s">
        <v>39</v>
      </c>
      <c r="C22" s="3">
        <v>440</v>
      </c>
      <c r="D22" s="3">
        <v>226</v>
      </c>
      <c r="E22" s="3">
        <f t="shared" si="0"/>
        <v>452</v>
      </c>
      <c r="F22" s="3" t="str" cm="1">
        <f t="array" ref="F22">IF(ABS(E22-hdrmark)&lt;(Tolerance*hdrmark),"HdrMark",IF(ABS(E22-hdrspace)&lt;(Tolerance*hdrspace),"HdrSpace",(IF(ABS(E22-gap)&lt;(Tolerance*gap),"Gap",IF(ISNUMBER(SEARCH("BitMark",F23)),IF(ABS(E22-zerospace)&lt;(Tolerance*zerospace),1,0),"BitMark")))))</f>
        <v>BitMark</v>
      </c>
    </row>
    <row r="23" spans="2:6" x14ac:dyDescent="0.25">
      <c r="B23" s="5" t="s">
        <v>40</v>
      </c>
      <c r="C23" s="3">
        <v>1284</v>
      </c>
      <c r="D23" s="3">
        <v>625</v>
      </c>
      <c r="E23" s="3">
        <f t="shared" si="0"/>
        <v>1250</v>
      </c>
      <c r="F23" s="3" cm="1">
        <f t="array" ref="F23">IF(ABS(E23-hdrmark)&lt;(Tolerance*hdrmark),"HdrMark",IF(ABS(E23-hdrspace)&lt;(Tolerance*hdrspace),"HdrSpace",(IF(ABS(E23-gap)&lt;(Tolerance*gap),"Gap",IF(ISNUMBER(SEARCH("BitMark",F24)),IF(ABS(E23-zerospace)&lt;(Tolerance*zerospace),1,0),"BitMark")))))</f>
        <v>1</v>
      </c>
    </row>
    <row r="24" spans="2:6" ht="15" customHeight="1" x14ac:dyDescent="0.25">
      <c r="B24" s="5" t="s">
        <v>41</v>
      </c>
      <c r="C24" s="3">
        <v>450</v>
      </c>
      <c r="D24" s="3">
        <v>235</v>
      </c>
      <c r="E24" s="3">
        <f t="shared" si="0"/>
        <v>470</v>
      </c>
      <c r="F24" s="3" t="str" cm="1">
        <f t="array" ref="F24">IF(ABS(E24-hdrmark)&lt;(Tolerance*hdrmark),"HdrMark",IF(ABS(E24-hdrspace)&lt;(Tolerance*hdrspace),"HdrSpace",(IF(ABS(E24-gap)&lt;(Tolerance*gap),"Gap",IF(ISNUMBER(SEARCH("BitMark",F25)),IF(ABS(E24-zerospace)&lt;(Tolerance*zerospace),1,0),"BitMark")))))</f>
        <v>BitMark</v>
      </c>
    </row>
    <row r="25" spans="2:6" x14ac:dyDescent="0.25">
      <c r="B25" s="5" t="s">
        <v>42</v>
      </c>
      <c r="C25" s="3">
        <v>412</v>
      </c>
      <c r="D25" s="3">
        <v>199</v>
      </c>
      <c r="E25" s="3">
        <f t="shared" si="0"/>
        <v>398</v>
      </c>
      <c r="F25" s="3" cm="1">
        <f t="array" ref="F25">IF(ABS(E25-hdrmark)&lt;(Tolerance*hdrmark),"HdrMark",IF(ABS(E25-hdrspace)&lt;(Tolerance*hdrspace),"HdrSpace",(IF(ABS(E25-gap)&lt;(Tolerance*gap),"Gap",IF(ISNUMBER(SEARCH("BitMark",F26)),IF(ABS(E25-zerospace)&lt;(Tolerance*zerospace),1,0),"BitMark")))))</f>
        <v>0</v>
      </c>
    </row>
    <row r="26" spans="2:6" ht="15" customHeight="1" x14ac:dyDescent="0.25">
      <c r="B26" s="5" t="s">
        <v>43</v>
      </c>
      <c r="C26" s="3">
        <v>444</v>
      </c>
      <c r="D26" s="3">
        <v>236</v>
      </c>
      <c r="E26" s="3">
        <f t="shared" si="0"/>
        <v>472</v>
      </c>
      <c r="F26" s="3" t="str" cm="1">
        <f t="array" ref="F26">IF(ABS(E26-hdrmark)&lt;(Tolerance*hdrmark),"HdrMark",IF(ABS(E26-hdrspace)&lt;(Tolerance*hdrspace),"HdrSpace",(IF(ABS(E26-gap)&lt;(Tolerance*gap),"Gap",IF(ISNUMBER(SEARCH("BitMark",F27)),IF(ABS(E26-zerospace)&lt;(Tolerance*zerospace),1,0),"BitMark")))))</f>
        <v>BitMark</v>
      </c>
    </row>
    <row r="27" spans="2:6" x14ac:dyDescent="0.25">
      <c r="B27" s="5" t="s">
        <v>44</v>
      </c>
      <c r="C27" s="3">
        <v>418</v>
      </c>
      <c r="D27" s="3">
        <v>210</v>
      </c>
      <c r="E27" s="3">
        <f t="shared" si="0"/>
        <v>420</v>
      </c>
      <c r="F27" s="3" cm="1">
        <f t="array" ref="F27">IF(ABS(E27-hdrmark)&lt;(Tolerance*hdrmark),"HdrMark",IF(ABS(E27-hdrspace)&lt;(Tolerance*hdrspace),"HdrSpace",(IF(ABS(E27-gap)&lt;(Tolerance*gap),"Gap",IF(ISNUMBER(SEARCH("BitMark",F28)),IF(ABS(E27-zerospace)&lt;(Tolerance*zerospace),1,0),"BitMark")))))</f>
        <v>0</v>
      </c>
    </row>
    <row r="28" spans="2:6" ht="15" customHeight="1" x14ac:dyDescent="0.25">
      <c r="B28" s="5" t="s">
        <v>45</v>
      </c>
      <c r="C28" s="3">
        <v>448</v>
      </c>
      <c r="D28" s="3">
        <v>224</v>
      </c>
      <c r="E28" s="3">
        <f t="shared" si="0"/>
        <v>448</v>
      </c>
      <c r="F28" s="3" t="str" cm="1">
        <f t="array" ref="F28">IF(ABS(E28-hdrmark)&lt;(Tolerance*hdrmark),"HdrMark",IF(ABS(E28-hdrspace)&lt;(Tolerance*hdrspace),"HdrSpace",(IF(ABS(E28-gap)&lt;(Tolerance*gap),"Gap",IF(ISNUMBER(SEARCH("BitMark",F29)),IF(ABS(E28-zerospace)&lt;(Tolerance*zerospace),1,0),"BitMark")))))</f>
        <v>BitMark</v>
      </c>
    </row>
    <row r="29" spans="2:6" x14ac:dyDescent="0.25">
      <c r="B29" s="5" t="s">
        <v>46</v>
      </c>
      <c r="C29" s="3">
        <v>414</v>
      </c>
      <c r="D29" s="3">
        <v>195</v>
      </c>
      <c r="E29" s="3">
        <f t="shared" si="0"/>
        <v>390</v>
      </c>
      <c r="F29" s="3" cm="1">
        <f t="array" ref="F29">IF(ABS(E29-hdrmark)&lt;(Tolerance*hdrmark),"HdrMark",IF(ABS(E29-hdrspace)&lt;(Tolerance*hdrspace),"HdrSpace",(IF(ABS(E29-gap)&lt;(Tolerance*gap),"Gap",IF(ISNUMBER(SEARCH("BitMark",F30)),IF(ABS(E29-zerospace)&lt;(Tolerance*zerospace),1,0),"BitMark")))))</f>
        <v>0</v>
      </c>
    </row>
    <row r="30" spans="2:6" ht="15" customHeight="1" x14ac:dyDescent="0.25">
      <c r="B30" s="5" t="s">
        <v>47</v>
      </c>
      <c r="C30" s="3">
        <v>442</v>
      </c>
      <c r="D30" s="3">
        <v>235</v>
      </c>
      <c r="E30" s="3">
        <f t="shared" si="0"/>
        <v>470</v>
      </c>
      <c r="F30" s="3" t="str" cm="1">
        <f t="array" ref="F30">IF(ABS(E30-hdrmark)&lt;(Tolerance*hdrmark),"HdrMark",IF(ABS(E30-hdrspace)&lt;(Tolerance*hdrspace),"HdrSpace",(IF(ABS(E30-gap)&lt;(Tolerance*gap),"Gap",IF(ISNUMBER(SEARCH("BitMark",F31)),IF(ABS(E30-zerospace)&lt;(Tolerance*zerospace),1,0),"BitMark")))))</f>
        <v>BitMark</v>
      </c>
    </row>
    <row r="31" spans="2:6" x14ac:dyDescent="0.25">
      <c r="B31" s="5" t="s">
        <v>48</v>
      </c>
      <c r="C31" s="3">
        <v>420</v>
      </c>
      <c r="D31" s="3">
        <v>199</v>
      </c>
      <c r="E31" s="3">
        <f t="shared" si="0"/>
        <v>398</v>
      </c>
      <c r="F31" s="3" cm="1">
        <f t="array" ref="F31">IF(ABS(E31-hdrmark)&lt;(Tolerance*hdrmark),"HdrMark",IF(ABS(E31-hdrspace)&lt;(Tolerance*hdrspace),"HdrSpace",(IF(ABS(E31-gap)&lt;(Tolerance*gap),"Gap",IF(ISNUMBER(SEARCH("BitMark",F32)),IF(ABS(E31-zerospace)&lt;(Tolerance*zerospace),1,0),"BitMark")))))</f>
        <v>0</v>
      </c>
    </row>
    <row r="32" spans="2:6" ht="15" customHeight="1" x14ac:dyDescent="0.25">
      <c r="B32" s="5" t="s">
        <v>49</v>
      </c>
      <c r="C32" s="3">
        <v>446</v>
      </c>
      <c r="D32" s="3">
        <v>235</v>
      </c>
      <c r="E32" s="3">
        <f t="shared" si="0"/>
        <v>470</v>
      </c>
      <c r="F32" s="3" t="str" cm="1">
        <f t="array" ref="F32">IF(ABS(E32-hdrmark)&lt;(Tolerance*hdrmark),"HdrMark",IF(ABS(E32-hdrspace)&lt;(Tolerance*hdrspace),"HdrSpace",(IF(ABS(E32-gap)&lt;(Tolerance*gap),"Gap",IF(ISNUMBER(SEARCH("BitMark",F33)),IF(ABS(E32-zerospace)&lt;(Tolerance*zerospace),1,0),"BitMark")))))</f>
        <v>BitMark</v>
      </c>
    </row>
    <row r="33" spans="2:6" x14ac:dyDescent="0.25">
      <c r="B33" s="5" t="s">
        <v>50</v>
      </c>
      <c r="C33" s="3">
        <v>1278</v>
      </c>
      <c r="D33" s="3">
        <v>630</v>
      </c>
      <c r="E33" s="3">
        <f t="shared" si="0"/>
        <v>1260</v>
      </c>
      <c r="F33" s="3" cm="1">
        <f t="array" ref="F33">IF(ABS(E33-hdrmark)&lt;(Tolerance*hdrmark),"HdrMark",IF(ABS(E33-hdrspace)&lt;(Tolerance*hdrspace),"HdrSpace",(IF(ABS(E33-gap)&lt;(Tolerance*gap),"Gap",IF(ISNUMBER(SEARCH("BitMark",F34)),IF(ABS(E33-zerospace)&lt;(Tolerance*zerospace),1,0),"BitMark")))))</f>
        <v>1</v>
      </c>
    </row>
    <row r="34" spans="2:6" ht="15" customHeight="1" x14ac:dyDescent="0.25">
      <c r="B34" s="5" t="s">
        <v>51</v>
      </c>
      <c r="C34" s="3">
        <v>444</v>
      </c>
      <c r="D34" s="3">
        <v>235</v>
      </c>
      <c r="E34" s="3">
        <f t="shared" si="0"/>
        <v>470</v>
      </c>
      <c r="F34" s="3" t="str" cm="1">
        <f t="array" ref="F34">IF(ABS(E34-hdrmark)&lt;(Tolerance*hdrmark),"HdrMark",IF(ABS(E34-hdrspace)&lt;(Tolerance*hdrspace),"HdrSpace",(IF(ABS(E34-gap)&lt;(Tolerance*gap),"Gap",IF(ISNUMBER(SEARCH("BitMark",F35)),IF(ABS(E34-zerospace)&lt;(Tolerance*zerospace),1,0),"BitMark")))))</f>
        <v>BitMark</v>
      </c>
    </row>
    <row r="35" spans="2:6" x14ac:dyDescent="0.25">
      <c r="B35" s="5" t="s">
        <v>52</v>
      </c>
      <c r="C35" s="3">
        <v>418</v>
      </c>
      <c r="D35" s="3">
        <v>198</v>
      </c>
      <c r="E35" s="3">
        <f t="shared" si="0"/>
        <v>396</v>
      </c>
      <c r="F35" s="3" cm="1">
        <f t="array" ref="F35">IF(ABS(E35-hdrmark)&lt;(Tolerance*hdrmark),"HdrMark",IF(ABS(E35-hdrspace)&lt;(Tolerance*hdrspace),"HdrSpace",(IF(ABS(E35-gap)&lt;(Tolerance*gap),"Gap",IF(ISNUMBER(SEARCH("BitMark",F36)),IF(ABS(E35-zerospace)&lt;(Tolerance*zerospace),1,0),"BitMark")))))</f>
        <v>0</v>
      </c>
    </row>
    <row r="36" spans="2:6" ht="15" customHeight="1" x14ac:dyDescent="0.25">
      <c r="B36" s="5" t="s">
        <v>53</v>
      </c>
      <c r="C36" s="3">
        <v>450</v>
      </c>
      <c r="D36" s="3">
        <v>236</v>
      </c>
      <c r="E36" s="3">
        <f t="shared" si="0"/>
        <v>472</v>
      </c>
      <c r="F36" s="3" t="str" cm="1">
        <f t="array" ref="F36">IF(ABS(E36-hdrmark)&lt;(Tolerance*hdrmark),"HdrMark",IF(ABS(E36-hdrspace)&lt;(Tolerance*hdrspace),"HdrSpace",(IF(ABS(E36-gap)&lt;(Tolerance*gap),"Gap",IF(ISNUMBER(SEARCH("BitMark",F37)),IF(ABS(E36-zerospace)&lt;(Tolerance*zerospace),1,0),"BitMark")))))</f>
        <v>BitMark</v>
      </c>
    </row>
    <row r="37" spans="2:6" x14ac:dyDescent="0.25">
      <c r="B37" s="5" t="s">
        <v>54</v>
      </c>
      <c r="C37" s="3">
        <v>1276</v>
      </c>
      <c r="D37" s="3">
        <v>629</v>
      </c>
      <c r="E37" s="3">
        <f t="shared" si="0"/>
        <v>1258</v>
      </c>
      <c r="F37" s="3" cm="1">
        <f t="array" ref="F37">IF(ABS(E37-hdrmark)&lt;(Tolerance*hdrmark),"HdrMark",IF(ABS(E37-hdrspace)&lt;(Tolerance*hdrspace),"HdrSpace",(IF(ABS(E37-gap)&lt;(Tolerance*gap),"Gap",IF(ISNUMBER(SEARCH("BitMark",F38)),IF(ABS(E37-zerospace)&lt;(Tolerance*zerospace),1,0),"BitMark")))))</f>
        <v>1</v>
      </c>
    </row>
    <row r="38" spans="2:6" ht="15" customHeight="1" x14ac:dyDescent="0.25">
      <c r="B38" s="5" t="s">
        <v>55</v>
      </c>
      <c r="C38" s="3">
        <v>446</v>
      </c>
      <c r="D38" s="3">
        <v>235</v>
      </c>
      <c r="E38" s="3">
        <f t="shared" si="0"/>
        <v>470</v>
      </c>
      <c r="F38" s="3" t="str" cm="1">
        <f t="array" ref="F38">IF(ABS(E38-hdrmark)&lt;(Tolerance*hdrmark),"HdrMark",IF(ABS(E38-hdrspace)&lt;(Tolerance*hdrspace),"HdrSpace",(IF(ABS(E38-gap)&lt;(Tolerance*gap),"Gap",IF(ISNUMBER(SEARCH("BitMark",F39)),IF(ABS(E38-zerospace)&lt;(Tolerance*zerospace),1,0),"BitMark")))))</f>
        <v>BitMark</v>
      </c>
    </row>
    <row r="39" spans="2:6" x14ac:dyDescent="0.25">
      <c r="B39" s="5" t="s">
        <v>56</v>
      </c>
      <c r="C39" s="3">
        <v>1278</v>
      </c>
      <c r="D39" s="3">
        <v>629</v>
      </c>
      <c r="E39" s="3">
        <f t="shared" si="0"/>
        <v>1258</v>
      </c>
      <c r="F39" s="3" cm="1">
        <f t="array" ref="F39">IF(ABS(E39-hdrmark)&lt;(Tolerance*hdrmark),"HdrMark",IF(ABS(E39-hdrspace)&lt;(Tolerance*hdrspace),"HdrSpace",(IF(ABS(E39-gap)&lt;(Tolerance*gap),"Gap",IF(ISNUMBER(SEARCH("BitMark",F40)),IF(ABS(E39-zerospace)&lt;(Tolerance*zerospace),1,0),"BitMark")))))</f>
        <v>1</v>
      </c>
    </row>
    <row r="40" spans="2:6" ht="15" customHeight="1" x14ac:dyDescent="0.25">
      <c r="B40" s="5" t="s">
        <v>57</v>
      </c>
      <c r="C40" s="3">
        <v>446</v>
      </c>
      <c r="D40" s="3">
        <v>240</v>
      </c>
      <c r="E40" s="3">
        <f t="shared" si="0"/>
        <v>480</v>
      </c>
      <c r="F40" s="3" t="str" cm="1">
        <f t="array" ref="F40">IF(ABS(E40-hdrmark)&lt;(Tolerance*hdrmark),"HdrMark",IF(ABS(E40-hdrspace)&lt;(Tolerance*hdrspace),"HdrSpace",(IF(ABS(E40-gap)&lt;(Tolerance*gap),"Gap",IF(ISNUMBER(SEARCH("BitMark",F41)),IF(ABS(E40-zerospace)&lt;(Tolerance*zerospace),1,0),"BitMark")))))</f>
        <v>BitMark</v>
      </c>
    </row>
    <row r="41" spans="2:6" x14ac:dyDescent="0.25">
      <c r="B41" s="5" t="s">
        <v>58</v>
      </c>
      <c r="C41" s="3">
        <v>416</v>
      </c>
      <c r="D41" s="3">
        <v>193</v>
      </c>
      <c r="E41" s="3">
        <f t="shared" si="0"/>
        <v>386</v>
      </c>
      <c r="F41" s="3" cm="1">
        <f t="array" ref="F41">IF(ABS(E41-hdrmark)&lt;(Tolerance*hdrmark),"HdrMark",IF(ABS(E41-hdrspace)&lt;(Tolerance*hdrspace),"HdrSpace",(IF(ABS(E41-gap)&lt;(Tolerance*gap),"Gap",IF(ISNUMBER(SEARCH("BitMark",F42)),IF(ABS(E41-zerospace)&lt;(Tolerance*zerospace),1,0),"BitMark")))))</f>
        <v>0</v>
      </c>
    </row>
    <row r="42" spans="2:6" ht="15" customHeight="1" x14ac:dyDescent="0.25">
      <c r="B42" s="5" t="s">
        <v>59</v>
      </c>
      <c r="C42" s="3">
        <v>440</v>
      </c>
      <c r="D42" s="3">
        <v>237</v>
      </c>
      <c r="E42" s="3">
        <f t="shared" si="0"/>
        <v>474</v>
      </c>
      <c r="F42" s="3" t="str" cm="1">
        <f t="array" ref="F42">IF(ABS(E42-hdrmark)&lt;(Tolerance*hdrmark),"HdrMark",IF(ABS(E42-hdrspace)&lt;(Tolerance*hdrspace),"HdrSpace",(IF(ABS(E42-gap)&lt;(Tolerance*gap),"Gap",IF(ISNUMBER(SEARCH("BitMark",F43)),IF(ABS(E42-zerospace)&lt;(Tolerance*zerospace),1,0),"BitMark")))))</f>
        <v>BitMark</v>
      </c>
    </row>
    <row r="43" spans="2:6" x14ac:dyDescent="0.25">
      <c r="B43" s="5" t="s">
        <v>60</v>
      </c>
      <c r="C43" s="3">
        <v>1284</v>
      </c>
      <c r="D43" s="3">
        <v>628</v>
      </c>
      <c r="E43" s="3">
        <f t="shared" si="0"/>
        <v>1256</v>
      </c>
      <c r="F43" s="3" cm="1">
        <f t="array" ref="F43">IF(ABS(E43-hdrmark)&lt;(Tolerance*hdrmark),"HdrMark",IF(ABS(E43-hdrspace)&lt;(Tolerance*hdrspace),"HdrSpace",(IF(ABS(E43-gap)&lt;(Tolerance*gap),"Gap",IF(ISNUMBER(SEARCH("BitMark",F44)),IF(ABS(E43-zerospace)&lt;(Tolerance*zerospace),1,0),"BitMark")))))</f>
        <v>1</v>
      </c>
    </row>
    <row r="44" spans="2:6" ht="15" customHeight="1" x14ac:dyDescent="0.25">
      <c r="B44" s="5" t="s">
        <v>61</v>
      </c>
      <c r="C44" s="3">
        <v>448</v>
      </c>
      <c r="D44" s="3">
        <v>237</v>
      </c>
      <c r="E44" s="3">
        <f t="shared" si="0"/>
        <v>474</v>
      </c>
      <c r="F44" s="3" t="str" cm="1">
        <f t="array" ref="F44">IF(ABS(E44-hdrmark)&lt;(Tolerance*hdrmark),"HdrMark",IF(ABS(E44-hdrspace)&lt;(Tolerance*hdrspace),"HdrSpace",(IF(ABS(E44-gap)&lt;(Tolerance*gap),"Gap",IF(ISNUMBER(SEARCH("BitMark",F45)),IF(ABS(E44-zerospace)&lt;(Tolerance*zerospace),1,0),"BitMark")))))</f>
        <v>BitMark</v>
      </c>
    </row>
    <row r="45" spans="2:6" x14ac:dyDescent="0.25">
      <c r="B45" s="5" t="s">
        <v>62</v>
      </c>
      <c r="C45" s="3">
        <v>1276</v>
      </c>
      <c r="D45" s="3">
        <v>628</v>
      </c>
      <c r="E45" s="3">
        <f t="shared" si="0"/>
        <v>1256</v>
      </c>
      <c r="F45" s="3" cm="1">
        <f t="array" ref="F45">IF(ABS(E45-hdrmark)&lt;(Tolerance*hdrmark),"HdrMark",IF(ABS(E45-hdrspace)&lt;(Tolerance*hdrspace),"HdrSpace",(IF(ABS(E45-gap)&lt;(Tolerance*gap),"Gap",IF(ISNUMBER(SEARCH("BitMark",F46)),IF(ABS(E45-zerospace)&lt;(Tolerance*zerospace),1,0),"BitMark")))))</f>
        <v>1</v>
      </c>
    </row>
    <row r="46" spans="2:6" ht="15" customHeight="1" x14ac:dyDescent="0.25">
      <c r="B46" s="5" t="s">
        <v>63</v>
      </c>
      <c r="C46" s="3">
        <v>446</v>
      </c>
      <c r="D46" s="3">
        <v>237</v>
      </c>
      <c r="E46" s="3">
        <f t="shared" si="0"/>
        <v>474</v>
      </c>
      <c r="F46" s="3" t="str" cm="1">
        <f t="array" ref="F46">IF(ABS(E46-hdrmark)&lt;(Tolerance*hdrmark),"HdrMark",IF(ABS(E46-hdrspace)&lt;(Tolerance*hdrspace),"HdrSpace",(IF(ABS(E46-gap)&lt;(Tolerance*gap),"Gap",IF(ISNUMBER(SEARCH("BitMark",F47)),IF(ABS(E46-zerospace)&lt;(Tolerance*zerospace),1,0),"BitMark")))))</f>
        <v>BitMark</v>
      </c>
    </row>
    <row r="47" spans="2:6" x14ac:dyDescent="0.25">
      <c r="B47" s="5" t="s">
        <v>64</v>
      </c>
      <c r="C47" s="3">
        <v>1278</v>
      </c>
      <c r="D47" s="3">
        <v>628</v>
      </c>
      <c r="E47" s="3">
        <f t="shared" si="0"/>
        <v>1256</v>
      </c>
      <c r="F47" s="3" cm="1">
        <f t="array" ref="F47">IF(ABS(E47-hdrmark)&lt;(Tolerance*hdrmark),"HdrMark",IF(ABS(E47-hdrspace)&lt;(Tolerance*hdrspace),"HdrSpace",(IF(ABS(E47-gap)&lt;(Tolerance*gap),"Gap",IF(ISNUMBER(SEARCH("BitMark",F48)),IF(ABS(E47-zerospace)&lt;(Tolerance*zerospace),1,0),"BitMark")))))</f>
        <v>1</v>
      </c>
    </row>
    <row r="48" spans="2:6" ht="15" customHeight="1" x14ac:dyDescent="0.25">
      <c r="B48" s="5" t="s">
        <v>65</v>
      </c>
      <c r="C48" s="3">
        <v>446</v>
      </c>
      <c r="D48" s="3">
        <v>236</v>
      </c>
      <c r="E48" s="3">
        <f t="shared" si="0"/>
        <v>472</v>
      </c>
      <c r="F48" s="3" t="str" cm="1">
        <f t="array" ref="F48">IF(ABS(E48-hdrmark)&lt;(Tolerance*hdrmark),"HdrMark",IF(ABS(E48-hdrspace)&lt;(Tolerance*hdrspace),"HdrSpace",(IF(ABS(E48-gap)&lt;(Tolerance*gap),"Gap",IF(ISNUMBER(SEARCH("BitMark",F49)),IF(ABS(E48-zerospace)&lt;(Tolerance*zerospace),1,0),"BitMark")))))</f>
        <v>BitMark</v>
      </c>
    </row>
    <row r="49" spans="2:6" x14ac:dyDescent="0.25">
      <c r="B49" s="5" t="s">
        <v>66</v>
      </c>
      <c r="C49" s="3">
        <v>1280</v>
      </c>
      <c r="D49" s="3">
        <v>629</v>
      </c>
      <c r="E49" s="3">
        <f t="shared" si="0"/>
        <v>1258</v>
      </c>
      <c r="F49" s="3" cm="1">
        <f t="array" ref="F49">IF(ABS(E49-hdrmark)&lt;(Tolerance*hdrmark),"HdrMark",IF(ABS(E49-hdrspace)&lt;(Tolerance*hdrspace),"HdrSpace",(IF(ABS(E49-gap)&lt;(Tolerance*gap),"Gap",IF(ISNUMBER(SEARCH("BitMark",F50)),IF(ABS(E49-zerospace)&lt;(Tolerance*zerospace),1,0),"BitMark")))))</f>
        <v>1</v>
      </c>
    </row>
    <row r="50" spans="2:6" ht="15" customHeight="1" x14ac:dyDescent="0.25">
      <c r="B50" s="5" t="s">
        <v>67</v>
      </c>
      <c r="C50" s="3">
        <v>444</v>
      </c>
      <c r="D50" s="3">
        <v>236</v>
      </c>
      <c r="E50" s="3">
        <f t="shared" si="0"/>
        <v>472</v>
      </c>
      <c r="F50" s="3" t="str" cm="1">
        <f t="array" ref="F50">IF(ABS(E50-hdrmark)&lt;(Tolerance*hdrmark),"HdrMark",IF(ABS(E50-hdrspace)&lt;(Tolerance*hdrspace),"HdrSpace",(IF(ABS(E50-gap)&lt;(Tolerance*gap),"Gap",IF(ISNUMBER(SEARCH("BitMark",F51)),IF(ABS(E50-zerospace)&lt;(Tolerance*zerospace),1,0),"BitMark")))))</f>
        <v>BitMark</v>
      </c>
    </row>
    <row r="51" spans="2:6" x14ac:dyDescent="0.25">
      <c r="B51" s="5" t="s">
        <v>68</v>
      </c>
      <c r="C51" s="3">
        <v>1280</v>
      </c>
      <c r="D51" s="3">
        <v>628</v>
      </c>
      <c r="E51" s="3">
        <f t="shared" si="0"/>
        <v>1256</v>
      </c>
      <c r="F51" s="3" cm="1">
        <f t="array" ref="F51">IF(ABS(E51-hdrmark)&lt;(Tolerance*hdrmark),"HdrMark",IF(ABS(E51-hdrspace)&lt;(Tolerance*hdrspace),"HdrSpace",(IF(ABS(E51-gap)&lt;(Tolerance*gap),"Gap",IF(ISNUMBER(SEARCH("BitMark",F52)),IF(ABS(E51-zerospace)&lt;(Tolerance*zerospace),1,0),"BitMark")))))</f>
        <v>1</v>
      </c>
    </row>
    <row r="52" spans="2:6" ht="15" customHeight="1" x14ac:dyDescent="0.25">
      <c r="B52" s="5" t="s">
        <v>69</v>
      </c>
      <c r="C52" s="3">
        <v>442</v>
      </c>
      <c r="D52" s="3">
        <v>236</v>
      </c>
      <c r="E52" s="3">
        <f t="shared" si="0"/>
        <v>472</v>
      </c>
      <c r="F52" s="3" t="str" cm="1">
        <f t="array" ref="F52">IF(ABS(E52-hdrmark)&lt;(Tolerance*hdrmark),"HdrMark",IF(ABS(E52-hdrspace)&lt;(Tolerance*hdrspace),"HdrSpace",(IF(ABS(E52-gap)&lt;(Tolerance*gap),"Gap",IF(ISNUMBER(SEARCH("BitMark",F53)),IF(ABS(E52-zerospace)&lt;(Tolerance*zerospace),1,0),"BitMark")))))</f>
        <v>BitMark</v>
      </c>
    </row>
    <row r="53" spans="2:6" x14ac:dyDescent="0.25">
      <c r="B53" s="5" t="s">
        <v>70</v>
      </c>
      <c r="C53" s="3">
        <v>420</v>
      </c>
      <c r="D53" s="3">
        <v>198</v>
      </c>
      <c r="E53" s="3">
        <f t="shared" si="0"/>
        <v>396</v>
      </c>
      <c r="F53" s="3" cm="1">
        <f t="array" ref="F53">IF(ABS(E53-hdrmark)&lt;(Tolerance*hdrmark),"HdrMark",IF(ABS(E53-hdrspace)&lt;(Tolerance*hdrspace),"HdrSpace",(IF(ABS(E53-gap)&lt;(Tolerance*gap),"Gap",IF(ISNUMBER(SEARCH("BitMark",F54)),IF(ABS(E53-zerospace)&lt;(Tolerance*zerospace),1,0),"BitMark")))))</f>
        <v>0</v>
      </c>
    </row>
    <row r="54" spans="2:6" ht="15" customHeight="1" x14ac:dyDescent="0.25">
      <c r="B54" s="5" t="s">
        <v>71</v>
      </c>
      <c r="C54" s="3">
        <v>446</v>
      </c>
      <c r="D54" s="3">
        <v>237</v>
      </c>
      <c r="E54" s="3">
        <f t="shared" si="0"/>
        <v>474</v>
      </c>
      <c r="F54" s="3" t="str" cm="1">
        <f t="array" ref="F54">IF(ABS(E54-hdrmark)&lt;(Tolerance*hdrmark),"HdrMark",IF(ABS(E54-hdrspace)&lt;(Tolerance*hdrspace),"HdrSpace",(IF(ABS(E54-gap)&lt;(Tolerance*gap),"Gap",IF(ISNUMBER(SEARCH("BitMark",F55)),IF(ABS(E54-zerospace)&lt;(Tolerance*zerospace),1,0),"BitMark")))))</f>
        <v>BitMark</v>
      </c>
    </row>
    <row r="55" spans="2:6" x14ac:dyDescent="0.25">
      <c r="B55" s="5" t="s">
        <v>72</v>
      </c>
      <c r="C55" s="3">
        <v>416</v>
      </c>
      <c r="D55" s="3">
        <v>196</v>
      </c>
      <c r="E55" s="3">
        <f t="shared" si="0"/>
        <v>392</v>
      </c>
      <c r="F55" s="3" cm="1">
        <f t="array" ref="F55">IF(ABS(E55-hdrmark)&lt;(Tolerance*hdrmark),"HdrMark",IF(ABS(E55-hdrspace)&lt;(Tolerance*hdrspace),"HdrSpace",(IF(ABS(E55-gap)&lt;(Tolerance*gap),"Gap",IF(ISNUMBER(SEARCH("BitMark",F56)),IF(ABS(E55-zerospace)&lt;(Tolerance*zerospace),1,0),"BitMark")))))</f>
        <v>0</v>
      </c>
    </row>
    <row r="56" spans="2:6" ht="15" customHeight="1" x14ac:dyDescent="0.25">
      <c r="B56" s="5" t="s">
        <v>73</v>
      </c>
      <c r="C56" s="3">
        <v>440</v>
      </c>
      <c r="D56" s="3">
        <v>239</v>
      </c>
      <c r="E56" s="3">
        <f t="shared" si="0"/>
        <v>478</v>
      </c>
      <c r="F56" s="3" t="str" cm="1">
        <f t="array" ref="F56">IF(ABS(E56-hdrmark)&lt;(Tolerance*hdrmark),"HdrMark",IF(ABS(E56-hdrspace)&lt;(Tolerance*hdrspace),"HdrSpace",(IF(ABS(E56-gap)&lt;(Tolerance*gap),"Gap",IF(ISNUMBER(SEARCH("BitMark",F57)),IF(ABS(E56-zerospace)&lt;(Tolerance*zerospace),1,0),"BitMark")))))</f>
        <v>BitMark</v>
      </c>
    </row>
    <row r="57" spans="2:6" x14ac:dyDescent="0.25">
      <c r="B57" s="5" t="s">
        <v>74</v>
      </c>
      <c r="C57" s="3">
        <v>1284</v>
      </c>
      <c r="D57" s="3">
        <v>626</v>
      </c>
      <c r="E57" s="3">
        <f t="shared" si="0"/>
        <v>1252</v>
      </c>
      <c r="F57" s="3" cm="1">
        <f t="array" ref="F57">IF(ABS(E57-hdrmark)&lt;(Tolerance*hdrmark),"HdrMark",IF(ABS(E57-hdrspace)&lt;(Tolerance*hdrspace),"HdrSpace",(IF(ABS(E57-gap)&lt;(Tolerance*gap),"Gap",IF(ISNUMBER(SEARCH("BitMark",F58)),IF(ABS(E57-zerospace)&lt;(Tolerance*zerospace),1,0),"BitMark")))))</f>
        <v>1</v>
      </c>
    </row>
    <row r="58" spans="2:6" ht="15" customHeight="1" x14ac:dyDescent="0.25">
      <c r="B58" s="5" t="s">
        <v>75</v>
      </c>
      <c r="C58" s="3">
        <v>450</v>
      </c>
      <c r="D58" s="3">
        <v>238</v>
      </c>
      <c r="E58" s="3">
        <f t="shared" si="0"/>
        <v>476</v>
      </c>
      <c r="F58" s="3" t="str" cm="1">
        <f t="array" ref="F58">IF(ABS(E58-hdrmark)&lt;(Tolerance*hdrmark),"HdrMark",IF(ABS(E58-hdrspace)&lt;(Tolerance*hdrspace),"HdrSpace",(IF(ABS(E58-gap)&lt;(Tolerance*gap),"Gap",IF(ISNUMBER(SEARCH("BitMark",F59)),IF(ABS(E58-zerospace)&lt;(Tolerance*zerospace),1,0),"BitMark")))))</f>
        <v>BitMark</v>
      </c>
    </row>
    <row r="59" spans="2:6" ht="15" customHeight="1" x14ac:dyDescent="0.25">
      <c r="B59" s="5" t="s">
        <v>76</v>
      </c>
      <c r="C59" s="3">
        <v>412</v>
      </c>
      <c r="D59" s="3">
        <v>194</v>
      </c>
      <c r="E59" s="3">
        <f t="shared" si="0"/>
        <v>388</v>
      </c>
      <c r="F59" s="3" cm="1">
        <f t="array" ref="F59">IF(ABS(E59-hdrmark)&lt;(Tolerance*hdrmark),"HdrMark",IF(ABS(E59-hdrspace)&lt;(Tolerance*hdrspace),"HdrSpace",(IF(ABS(E59-gap)&lt;(Tolerance*gap),"Gap",IF(ISNUMBER(SEARCH("BitMark",F60)),IF(ABS(E59-zerospace)&lt;(Tolerance*zerospace),1,0),"BitMark")))))</f>
        <v>0</v>
      </c>
    </row>
    <row r="60" spans="2:6" ht="15" customHeight="1" x14ac:dyDescent="0.25">
      <c r="B60" s="5" t="s">
        <v>77</v>
      </c>
      <c r="C60" s="3">
        <v>442</v>
      </c>
      <c r="D60" s="3">
        <v>235</v>
      </c>
      <c r="E60" s="3">
        <f t="shared" si="0"/>
        <v>470</v>
      </c>
      <c r="F60" s="3" t="str" cm="1">
        <f t="array" ref="F60">IF(ABS(E60-hdrmark)&lt;(Tolerance*hdrmark),"HdrMark",IF(ABS(E60-hdrspace)&lt;(Tolerance*hdrspace),"HdrSpace",(IF(ABS(E60-gap)&lt;(Tolerance*gap),"Gap",IF(ISNUMBER(SEARCH("BitMark",F61)),IF(ABS(E60-zerospace)&lt;(Tolerance*zerospace),1,0),"BitMark")))))</f>
        <v>BitMark</v>
      </c>
    </row>
    <row r="61" spans="2:6" x14ac:dyDescent="0.25">
      <c r="B61" s="5" t="s">
        <v>78</v>
      </c>
      <c r="C61" s="3">
        <v>420</v>
      </c>
      <c r="D61" s="3">
        <v>212</v>
      </c>
      <c r="E61" s="3">
        <f t="shared" si="0"/>
        <v>424</v>
      </c>
      <c r="F61" s="3" cm="1">
        <f t="array" ref="F61">IF(ABS(E61-hdrmark)&lt;(Tolerance*hdrmark),"HdrMark",IF(ABS(E61-hdrspace)&lt;(Tolerance*hdrspace),"HdrSpace",(IF(ABS(E61-gap)&lt;(Tolerance*gap),"Gap",IF(ISNUMBER(SEARCH("BitMark",F62)),IF(ABS(E61-zerospace)&lt;(Tolerance*zerospace),1,0),"BitMark")))))</f>
        <v>0</v>
      </c>
    </row>
    <row r="62" spans="2:6" ht="15" customHeight="1" x14ac:dyDescent="0.25">
      <c r="B62" s="5" t="s">
        <v>79</v>
      </c>
      <c r="C62" s="3">
        <v>448</v>
      </c>
      <c r="D62" s="3">
        <v>223</v>
      </c>
      <c r="E62" s="3">
        <f t="shared" si="0"/>
        <v>446</v>
      </c>
      <c r="F62" s="3" t="str" cm="1">
        <f t="array" ref="F62">IF(ABS(E62-hdrmark)&lt;(Tolerance*hdrmark),"HdrMark",IF(ABS(E62-hdrspace)&lt;(Tolerance*hdrspace),"HdrSpace",(IF(ABS(E62-gap)&lt;(Tolerance*gap),"Gap",IF(ISNUMBER(SEARCH("BitMark",F63)),IF(ABS(E62-zerospace)&lt;(Tolerance*zerospace),1,0),"BitMark")))))</f>
        <v>BitMark</v>
      </c>
    </row>
    <row r="63" spans="2:6" x14ac:dyDescent="0.25">
      <c r="B63" s="5" t="s">
        <v>80</v>
      </c>
      <c r="C63" s="3">
        <v>414</v>
      </c>
      <c r="D63" s="3">
        <v>197</v>
      </c>
      <c r="E63" s="3">
        <f t="shared" si="0"/>
        <v>394</v>
      </c>
      <c r="F63" s="3" cm="1">
        <f t="array" ref="F63">IF(ABS(E63-hdrmark)&lt;(Tolerance*hdrmark),"HdrMark",IF(ABS(E63-hdrspace)&lt;(Tolerance*hdrspace),"HdrSpace",(IF(ABS(E63-gap)&lt;(Tolerance*gap),"Gap",IF(ISNUMBER(SEARCH("BitMark",F64)),IF(ABS(E63-zerospace)&lt;(Tolerance*zerospace),1,0),"BitMark")))))</f>
        <v>0</v>
      </c>
    </row>
    <row r="64" spans="2:6" ht="15" customHeight="1" x14ac:dyDescent="0.25">
      <c r="B64" s="5" t="s">
        <v>81</v>
      </c>
      <c r="C64" s="3">
        <v>442</v>
      </c>
      <c r="D64" s="3">
        <v>238</v>
      </c>
      <c r="E64" s="3">
        <f t="shared" si="0"/>
        <v>476</v>
      </c>
      <c r="F64" s="3" t="str" cm="1">
        <f t="array" ref="F64">IF(ABS(E64-hdrmark)&lt;(Tolerance*hdrmark),"HdrMark",IF(ABS(E64-hdrspace)&lt;(Tolerance*hdrspace),"HdrSpace",(IF(ABS(E64-gap)&lt;(Tolerance*gap),"Gap",IF(ISNUMBER(SEARCH("BitMark",F65)),IF(ABS(E64-zerospace)&lt;(Tolerance*zerospace),1,0),"BitMark")))))</f>
        <v>BitMark</v>
      </c>
    </row>
    <row r="65" spans="2:6" x14ac:dyDescent="0.25">
      <c r="B65" s="5" t="s">
        <v>82</v>
      </c>
      <c r="C65" s="3">
        <v>420</v>
      </c>
      <c r="D65" s="3">
        <v>211</v>
      </c>
      <c r="E65" s="3">
        <f t="shared" si="0"/>
        <v>422</v>
      </c>
      <c r="F65" s="3" cm="1">
        <f t="array" ref="F65">IF(ABS(E65-hdrmark)&lt;(Tolerance*hdrmark),"HdrMark",IF(ABS(E65-hdrspace)&lt;(Tolerance*hdrspace),"HdrSpace",(IF(ABS(E65-gap)&lt;(Tolerance*gap),"Gap",IF(ISNUMBER(SEARCH("BitMark",F66)),IF(ABS(E65-zerospace)&lt;(Tolerance*zerospace),1,0),"BitMark")))))</f>
        <v>0</v>
      </c>
    </row>
    <row r="66" spans="2:6" ht="15" customHeight="1" x14ac:dyDescent="0.25">
      <c r="B66" s="5" t="s">
        <v>83</v>
      </c>
      <c r="C66" s="3">
        <v>446</v>
      </c>
      <c r="D66" s="3">
        <v>223</v>
      </c>
      <c r="E66" s="3">
        <f t="shared" si="0"/>
        <v>446</v>
      </c>
      <c r="F66" s="3" t="str" cm="1">
        <f t="array" ref="F66">IF(ABS(E66-hdrmark)&lt;(Tolerance*hdrmark),"HdrMark",IF(ABS(E66-hdrspace)&lt;(Tolerance*hdrspace),"HdrSpace",(IF(ABS(E66-gap)&lt;(Tolerance*gap),"Gap",IF(ISNUMBER(SEARCH("BitMark",F67)),IF(ABS(E66-zerospace)&lt;(Tolerance*zerospace),1,0),"BitMark")))))</f>
        <v>BitMark</v>
      </c>
    </row>
    <row r="67" spans="2:6" x14ac:dyDescent="0.25">
      <c r="B67" s="5" t="s">
        <v>84</v>
      </c>
      <c r="C67" s="3">
        <v>416</v>
      </c>
      <c r="D67" s="3">
        <v>193</v>
      </c>
      <c r="E67" s="3">
        <f t="shared" si="0"/>
        <v>386</v>
      </c>
      <c r="F67" s="3" cm="1">
        <f t="array" ref="F67">IF(ABS(E67-hdrmark)&lt;(Tolerance*hdrmark),"HdrMark",IF(ABS(E67-hdrspace)&lt;(Tolerance*hdrspace),"HdrSpace",(IF(ABS(E67-gap)&lt;(Tolerance*gap),"Gap",IF(ISNUMBER(SEARCH("BitMark",F68)),IF(ABS(E67-zerospace)&lt;(Tolerance*zerospace),1,0),"BitMark")))))</f>
        <v>0</v>
      </c>
    </row>
    <row r="68" spans="2:6" ht="15" customHeight="1" x14ac:dyDescent="0.25">
      <c r="B68" s="5" t="s">
        <v>85</v>
      </c>
      <c r="C68" s="3">
        <v>440</v>
      </c>
      <c r="D68" s="3">
        <v>241</v>
      </c>
      <c r="E68" s="3">
        <f t="shared" si="0"/>
        <v>482</v>
      </c>
      <c r="F68" s="3" t="str" cm="1">
        <f t="array" ref="F68">IF(ABS(E68-hdrmark)&lt;(Tolerance*hdrmark),"HdrMark",IF(ABS(E68-hdrspace)&lt;(Tolerance*hdrspace),"HdrSpace",(IF(ABS(E68-gap)&lt;(Tolerance*gap),"Gap",IF(ISNUMBER(SEARCH("BitMark",F69)),IF(ABS(E68-zerospace)&lt;(Tolerance*zerospace),1,0),"BitMark")))))</f>
        <v>BitMark</v>
      </c>
    </row>
    <row r="69" spans="2:6" x14ac:dyDescent="0.25">
      <c r="B69" s="5" t="s">
        <v>86</v>
      </c>
      <c r="C69" s="3">
        <v>422</v>
      </c>
      <c r="D69" s="3">
        <v>206</v>
      </c>
      <c r="E69" s="3">
        <f t="shared" si="0"/>
        <v>412</v>
      </c>
      <c r="F69" s="3" cm="1">
        <f t="array" ref="F69">IF(ABS(E69-hdrmark)&lt;(Tolerance*hdrmark),"HdrMark",IF(ABS(E69-hdrspace)&lt;(Tolerance*hdrspace),"HdrSpace",(IF(ABS(E69-gap)&lt;(Tolerance*gap),"Gap",IF(ISNUMBER(SEARCH("BitMark",F70)),IF(ABS(E69-zerospace)&lt;(Tolerance*zerospace),1,0),"BitMark")))))</f>
        <v>0</v>
      </c>
    </row>
    <row r="70" spans="2:6" ht="15" customHeight="1" x14ac:dyDescent="0.25">
      <c r="B70" s="5" t="s">
        <v>87</v>
      </c>
      <c r="C70" s="3">
        <v>444</v>
      </c>
      <c r="D70" s="3">
        <v>223</v>
      </c>
      <c r="E70" s="3">
        <f t="shared" si="0"/>
        <v>446</v>
      </c>
      <c r="F70" s="3" t="str" cm="1">
        <f t="array" ref="F70">IF(ABS(E70-hdrmark)&lt;(Tolerance*hdrmark),"HdrMark",IF(ABS(E70-hdrspace)&lt;(Tolerance*hdrspace),"HdrSpace",(IF(ABS(E70-gap)&lt;(Tolerance*gap),"Gap",IF(ISNUMBER(SEARCH("BitMark",F71)),IF(ABS(E70-zerospace)&lt;(Tolerance*zerospace),1,0),"BitMark")))))</f>
        <v>BitMark</v>
      </c>
    </row>
    <row r="71" spans="2:6" x14ac:dyDescent="0.25">
      <c r="B71" s="5" t="s">
        <v>88</v>
      </c>
      <c r="C71" s="3">
        <v>1280</v>
      </c>
      <c r="D71" s="3">
        <v>628</v>
      </c>
      <c r="E71" s="3">
        <f t="shared" si="0"/>
        <v>1256</v>
      </c>
      <c r="F71" s="3" cm="1">
        <f t="array" ref="F71">IF(ABS(E71-hdrmark)&lt;(Tolerance*hdrmark),"HdrMark",IF(ABS(E71-hdrspace)&lt;(Tolerance*hdrspace),"HdrSpace",(IF(ABS(E71-gap)&lt;(Tolerance*gap),"Gap",IF(ISNUMBER(SEARCH("BitMark",F72)),IF(ABS(E71-zerospace)&lt;(Tolerance*zerospace),1,0),"BitMark")))))</f>
        <v>1</v>
      </c>
    </row>
    <row r="72" spans="2:6" ht="15" customHeight="1" x14ac:dyDescent="0.25">
      <c r="B72" s="5" t="s">
        <v>89</v>
      </c>
      <c r="C72" s="3">
        <v>442</v>
      </c>
      <c r="D72" s="3">
        <v>237</v>
      </c>
      <c r="E72" s="3">
        <f t="shared" si="0"/>
        <v>474</v>
      </c>
      <c r="F72" s="3" t="str" cm="1">
        <f t="array" ref="F72">IF(ABS(E72-hdrmark)&lt;(Tolerance*hdrmark),"HdrMark",IF(ABS(E72-hdrspace)&lt;(Tolerance*hdrspace),"HdrSpace",(IF(ABS(E72-gap)&lt;(Tolerance*gap),"Gap",IF(ISNUMBER(SEARCH("BitMark",F73)),IF(ABS(E72-zerospace)&lt;(Tolerance*zerospace),1,0),"BitMark")))))</f>
        <v>BitMark</v>
      </c>
    </row>
    <row r="73" spans="2:6" ht="15" customHeight="1" x14ac:dyDescent="0.25">
      <c r="B73" s="5" t="s">
        <v>90</v>
      </c>
      <c r="C73" s="3">
        <v>1282</v>
      </c>
      <c r="D73" s="3">
        <v>628</v>
      </c>
      <c r="E73" s="3">
        <f t="shared" si="0"/>
        <v>1256</v>
      </c>
      <c r="F73" s="3" cm="1">
        <f t="array" ref="F73">IF(ABS(E73-hdrmark)&lt;(Tolerance*hdrmark),"HdrMark",IF(ABS(E73-hdrspace)&lt;(Tolerance*hdrspace),"HdrSpace",(IF(ABS(E73-gap)&lt;(Tolerance*gap),"Gap",IF(ISNUMBER(SEARCH("BitMark",F74)),IF(ABS(E73-zerospace)&lt;(Tolerance*zerospace),1,0),"BitMark")))))</f>
        <v>1</v>
      </c>
    </row>
    <row r="74" spans="2:6" ht="15" customHeight="1" x14ac:dyDescent="0.25">
      <c r="B74" s="5" t="s">
        <v>91</v>
      </c>
      <c r="C74" s="3">
        <v>440</v>
      </c>
      <c r="D74" s="3">
        <v>237</v>
      </c>
      <c r="E74" s="3">
        <f t="shared" si="0"/>
        <v>474</v>
      </c>
      <c r="F74" s="3" t="str" cm="1">
        <f t="array" ref="F74">IF(ABS(E74-hdrmark)&lt;(Tolerance*hdrmark),"HdrMark",IF(ABS(E74-hdrspace)&lt;(Tolerance*hdrspace),"HdrSpace",(IF(ABS(E74-gap)&lt;(Tolerance*gap),"Gap",IF(ISNUMBER(SEARCH("BitMark",F75)),IF(ABS(E74-zerospace)&lt;(Tolerance*zerospace),1,0),"BitMark")))))</f>
        <v>BitMark</v>
      </c>
    </row>
    <row r="75" spans="2:6" x14ac:dyDescent="0.25">
      <c r="B75" s="5" t="s">
        <v>92</v>
      </c>
      <c r="C75" s="3">
        <v>1284</v>
      </c>
      <c r="D75" s="3">
        <v>627</v>
      </c>
      <c r="E75" s="3">
        <f t="shared" si="0"/>
        <v>1254</v>
      </c>
      <c r="F75" s="3" cm="1">
        <f t="array" ref="F75">IF(ABS(E75-hdrmark)&lt;(Tolerance*hdrmark),"HdrMark",IF(ABS(E75-hdrspace)&lt;(Tolerance*hdrspace),"HdrSpace",(IF(ABS(E75-gap)&lt;(Tolerance*gap),"Gap",IF(ISNUMBER(SEARCH("BitMark",F76)),IF(ABS(E75-zerospace)&lt;(Tolerance*zerospace),1,0),"BitMark")))))</f>
        <v>1</v>
      </c>
    </row>
    <row r="76" spans="2:6" ht="15" customHeight="1" x14ac:dyDescent="0.25">
      <c r="B76" s="5" t="s">
        <v>93</v>
      </c>
      <c r="C76" s="3">
        <v>440</v>
      </c>
      <c r="D76" s="3">
        <v>237</v>
      </c>
      <c r="E76" s="3">
        <f t="shared" ref="E76:E139" si="1">D76*2</f>
        <v>474</v>
      </c>
      <c r="F76" s="3" t="str" cm="1">
        <f t="array" ref="F76">IF(ABS(E76-hdrmark)&lt;(Tolerance*hdrmark),"HdrMark",IF(ABS(E76-hdrspace)&lt;(Tolerance*hdrspace),"HdrSpace",(IF(ABS(E76-gap)&lt;(Tolerance*gap),"Gap",IF(ISNUMBER(SEARCH("BitMark",F77)),IF(ABS(E76-zerospace)&lt;(Tolerance*zerospace),1,0),"BitMark")))))</f>
        <v>BitMark</v>
      </c>
    </row>
    <row r="77" spans="2:6" x14ac:dyDescent="0.25">
      <c r="B77" s="5" t="s">
        <v>94</v>
      </c>
      <c r="C77" s="3">
        <v>1284</v>
      </c>
      <c r="D77" s="3">
        <v>642</v>
      </c>
      <c r="E77" s="3">
        <f t="shared" si="1"/>
        <v>1284</v>
      </c>
      <c r="F77" s="3" cm="1">
        <f t="array" ref="F77">IF(ABS(E77-hdrmark)&lt;(Tolerance*hdrmark),"HdrMark",IF(ABS(E77-hdrspace)&lt;(Tolerance*hdrspace),"HdrSpace",(IF(ABS(E77-gap)&lt;(Tolerance*gap),"Gap",IF(ISNUMBER(SEARCH("BitMark",F78)),IF(ABS(E77-zerospace)&lt;(Tolerance*zerospace),1,0),"BitMark")))))</f>
        <v>1</v>
      </c>
    </row>
    <row r="78" spans="2:6" ht="15" customHeight="1" x14ac:dyDescent="0.25">
      <c r="B78" s="5" t="s">
        <v>95</v>
      </c>
      <c r="C78" s="3">
        <v>448</v>
      </c>
      <c r="D78" s="3">
        <v>223</v>
      </c>
      <c r="E78" s="3">
        <f t="shared" si="1"/>
        <v>446</v>
      </c>
      <c r="F78" s="3" t="str" cm="1">
        <f t="array" ref="F78">IF(ABS(E78-hdrmark)&lt;(Tolerance*hdrmark),"HdrMark",IF(ABS(E78-hdrspace)&lt;(Tolerance*hdrspace),"HdrSpace",(IF(ABS(E78-gap)&lt;(Tolerance*gap),"Gap",IF(ISNUMBER(SEARCH("BitMark",F79)),IF(ABS(E78-zerospace)&lt;(Tolerance*zerospace),1,0),"BitMark")))))</f>
        <v>BitMark</v>
      </c>
    </row>
    <row r="79" spans="2:6" x14ac:dyDescent="0.25">
      <c r="B79" s="5" t="s">
        <v>96</v>
      </c>
      <c r="C79" s="3">
        <v>414</v>
      </c>
      <c r="D79" s="3">
        <v>195</v>
      </c>
      <c r="E79" s="3">
        <f t="shared" si="1"/>
        <v>390</v>
      </c>
      <c r="F79" s="3" cm="1">
        <f t="array" ref="F79">IF(ABS(E79-hdrmark)&lt;(Tolerance*hdrmark),"HdrMark",IF(ABS(E79-hdrspace)&lt;(Tolerance*hdrspace),"HdrSpace",(IF(ABS(E79-gap)&lt;(Tolerance*gap),"Gap",IF(ISNUMBER(SEARCH("BitMark",F80)),IF(ABS(E79-zerospace)&lt;(Tolerance*zerospace),1,0),"BitMark")))))</f>
        <v>0</v>
      </c>
    </row>
    <row r="80" spans="2:6" ht="15" customHeight="1" x14ac:dyDescent="0.25">
      <c r="B80" s="5" t="s">
        <v>97</v>
      </c>
      <c r="C80" s="3">
        <v>442</v>
      </c>
      <c r="D80" s="3">
        <v>234</v>
      </c>
      <c r="E80" s="3">
        <f t="shared" si="1"/>
        <v>468</v>
      </c>
      <c r="F80" s="3" t="str" cm="1">
        <f t="array" ref="F80">IF(ABS(E80-hdrmark)&lt;(Tolerance*hdrmark),"HdrMark",IF(ABS(E80-hdrspace)&lt;(Tolerance*hdrspace),"HdrSpace",(IF(ABS(E80-gap)&lt;(Tolerance*gap),"Gap",IF(ISNUMBER(SEARCH("BitMark",F81)),IF(ABS(E80-zerospace)&lt;(Tolerance*zerospace),1,0),"BitMark")))))</f>
        <v>BitMark</v>
      </c>
    </row>
    <row r="81" spans="2:6" x14ac:dyDescent="0.25">
      <c r="B81" s="5" t="s">
        <v>98</v>
      </c>
      <c r="C81" s="3">
        <v>420</v>
      </c>
      <c r="D81" s="3">
        <v>200</v>
      </c>
      <c r="E81" s="3">
        <f t="shared" si="1"/>
        <v>400</v>
      </c>
      <c r="F81" s="3" cm="1">
        <f t="array" ref="F81">IF(ABS(E81-hdrmark)&lt;(Tolerance*hdrmark),"HdrMark",IF(ABS(E81-hdrspace)&lt;(Tolerance*hdrspace),"HdrSpace",(IF(ABS(E81-gap)&lt;(Tolerance*gap),"Gap",IF(ISNUMBER(SEARCH("BitMark",F82)),IF(ABS(E81-zerospace)&lt;(Tolerance*zerospace),1,0),"BitMark")))))</f>
        <v>0</v>
      </c>
    </row>
    <row r="82" spans="2:6" ht="15" customHeight="1" x14ac:dyDescent="0.25">
      <c r="B82" s="5" t="s">
        <v>99</v>
      </c>
      <c r="C82" s="3">
        <v>446</v>
      </c>
      <c r="D82" s="3">
        <v>235</v>
      </c>
      <c r="E82" s="3">
        <f t="shared" si="1"/>
        <v>470</v>
      </c>
      <c r="F82" s="3" t="str" cm="1">
        <f t="array" ref="F82">IF(ABS(E82-hdrmark)&lt;(Tolerance*hdrmark),"HdrMark",IF(ABS(E82-hdrspace)&lt;(Tolerance*hdrspace),"HdrSpace",(IF(ABS(E82-gap)&lt;(Tolerance*gap),"Gap",IF(ISNUMBER(SEARCH("BitMark",F83)),IF(ABS(E82-zerospace)&lt;(Tolerance*zerospace),1,0),"BitMark")))))</f>
        <v>BitMark</v>
      </c>
    </row>
    <row r="83" spans="2:6" x14ac:dyDescent="0.25">
      <c r="B83" s="5" t="s">
        <v>100</v>
      </c>
      <c r="C83" s="3">
        <v>416</v>
      </c>
      <c r="D83" s="3">
        <v>198</v>
      </c>
      <c r="E83" s="3">
        <f t="shared" si="1"/>
        <v>396</v>
      </c>
      <c r="F83" s="3" cm="1">
        <f t="array" ref="F83">IF(ABS(E83-hdrmark)&lt;(Tolerance*hdrmark),"HdrMark",IF(ABS(E83-hdrspace)&lt;(Tolerance*hdrspace),"HdrSpace",(IF(ABS(E83-gap)&lt;(Tolerance*gap),"Gap",IF(ISNUMBER(SEARCH("BitMark",F84)),IF(ABS(E83-zerospace)&lt;(Tolerance*zerospace),1,0),"BitMark")))))</f>
        <v>0</v>
      </c>
    </row>
    <row r="84" spans="2:6" ht="15" customHeight="1" x14ac:dyDescent="0.25">
      <c r="B84" s="5" t="s">
        <v>101</v>
      </c>
      <c r="C84" s="3">
        <v>440</v>
      </c>
      <c r="D84" s="3">
        <v>237</v>
      </c>
      <c r="E84" s="3">
        <f t="shared" si="1"/>
        <v>474</v>
      </c>
      <c r="F84" s="3" t="str" cm="1">
        <f t="array" ref="F84">IF(ABS(E84-hdrmark)&lt;(Tolerance*hdrmark),"HdrMark",IF(ABS(E84-hdrspace)&lt;(Tolerance*hdrspace),"HdrSpace",(IF(ABS(E84-gap)&lt;(Tolerance*gap),"Gap",IF(ISNUMBER(SEARCH("BitMark",F85)),IF(ABS(E84-zerospace)&lt;(Tolerance*zerospace),1,0),"BitMark")))))</f>
        <v>BitMark</v>
      </c>
    </row>
    <row r="85" spans="2:6" x14ac:dyDescent="0.25">
      <c r="B85" s="5" t="s">
        <v>102</v>
      </c>
      <c r="C85" s="3">
        <v>420</v>
      </c>
      <c r="D85" s="3">
        <v>196</v>
      </c>
      <c r="E85" s="3">
        <f t="shared" si="1"/>
        <v>392</v>
      </c>
      <c r="F85" s="3" cm="1">
        <f t="array" ref="F85">IF(ABS(E85-hdrmark)&lt;(Tolerance*hdrmark),"HdrMark",IF(ABS(E85-hdrspace)&lt;(Tolerance*hdrspace),"HdrSpace",(IF(ABS(E85-gap)&lt;(Tolerance*gap),"Gap",IF(ISNUMBER(SEARCH("BitMark",F86)),IF(ABS(E85-zerospace)&lt;(Tolerance*zerospace),1,0),"BitMark")))))</f>
        <v>0</v>
      </c>
    </row>
    <row r="86" spans="2:6" ht="15" customHeight="1" x14ac:dyDescent="0.25">
      <c r="B86" s="5" t="s">
        <v>103</v>
      </c>
      <c r="C86" s="3">
        <v>446</v>
      </c>
      <c r="D86" s="3">
        <v>234</v>
      </c>
      <c r="E86" s="3">
        <f t="shared" si="1"/>
        <v>468</v>
      </c>
      <c r="F86" s="3" t="str" cm="1">
        <f t="array" ref="F86">IF(ABS(E86-hdrmark)&lt;(Tolerance*hdrmark),"HdrMark",IF(ABS(E86-hdrspace)&lt;(Tolerance*hdrspace),"HdrSpace",(IF(ABS(E86-gap)&lt;(Tolerance*gap),"Gap",IF(ISNUMBER(SEARCH("BitMark",F87)),IF(ABS(E86-zerospace)&lt;(Tolerance*zerospace),1,0),"BitMark")))))</f>
        <v>BitMark</v>
      </c>
    </row>
    <row r="87" spans="2:6" x14ac:dyDescent="0.25">
      <c r="B87" s="5" t="s">
        <v>104</v>
      </c>
      <c r="C87" s="3">
        <v>416</v>
      </c>
      <c r="D87" s="3">
        <v>199</v>
      </c>
      <c r="E87" s="3">
        <f t="shared" si="1"/>
        <v>398</v>
      </c>
      <c r="F87" s="3" cm="1">
        <f t="array" ref="F87">IF(ABS(E87-hdrmark)&lt;(Tolerance*hdrmark),"HdrMark",IF(ABS(E87-hdrspace)&lt;(Tolerance*hdrspace),"HdrSpace",(IF(ABS(E87-gap)&lt;(Tolerance*gap),"Gap",IF(ISNUMBER(SEARCH("BitMark",F88)),IF(ABS(E87-zerospace)&lt;(Tolerance*zerospace),1,0),"BitMark")))))</f>
        <v>0</v>
      </c>
    </row>
    <row r="88" spans="2:6" ht="15" customHeight="1" x14ac:dyDescent="0.25">
      <c r="B88" s="5" t="s">
        <v>105</v>
      </c>
      <c r="C88" s="3">
        <v>438</v>
      </c>
      <c r="D88" s="3">
        <v>235</v>
      </c>
      <c r="E88" s="3">
        <f t="shared" si="1"/>
        <v>470</v>
      </c>
      <c r="F88" s="3" t="str" cm="1">
        <f t="array" ref="F88">IF(ABS(E88-hdrmark)&lt;(Tolerance*hdrmark),"HdrMark",IF(ABS(E88-hdrspace)&lt;(Tolerance*hdrspace),"HdrSpace",(IF(ABS(E88-gap)&lt;(Tolerance*gap),"Gap",IF(ISNUMBER(SEARCH("BitMark",F89)),IF(ABS(E88-zerospace)&lt;(Tolerance*zerospace),1,0),"BitMark")))))</f>
        <v>BitMark</v>
      </c>
    </row>
    <row r="89" spans="2:6" x14ac:dyDescent="0.25">
      <c r="B89" s="5" t="s">
        <v>106</v>
      </c>
      <c r="C89" s="3">
        <v>424</v>
      </c>
      <c r="D89" s="3">
        <v>198</v>
      </c>
      <c r="E89" s="3">
        <f t="shared" si="1"/>
        <v>396</v>
      </c>
      <c r="F89" s="3" cm="1">
        <f t="array" ref="F89">IF(ABS(E89-hdrmark)&lt;(Tolerance*hdrmark),"HdrMark",IF(ABS(E89-hdrspace)&lt;(Tolerance*hdrspace),"HdrSpace",(IF(ABS(E89-gap)&lt;(Tolerance*gap),"Gap",IF(ISNUMBER(SEARCH("BitMark",F90)),IF(ABS(E89-zerospace)&lt;(Tolerance*zerospace),1,0),"BitMark")))))</f>
        <v>0</v>
      </c>
    </row>
    <row r="90" spans="2:6" ht="15" customHeight="1" x14ac:dyDescent="0.25">
      <c r="B90" s="5" t="s">
        <v>107</v>
      </c>
      <c r="C90" s="3">
        <v>444</v>
      </c>
      <c r="D90" s="3">
        <v>237</v>
      </c>
      <c r="E90" s="3">
        <f t="shared" si="1"/>
        <v>474</v>
      </c>
      <c r="F90" s="3" t="str" cm="1">
        <f t="array" ref="F90">IF(ABS(E90-hdrmark)&lt;(Tolerance*hdrmark),"HdrMark",IF(ABS(E90-hdrspace)&lt;(Tolerance*hdrspace),"HdrSpace",(IF(ABS(E90-gap)&lt;(Tolerance*gap),"Gap",IF(ISNUMBER(SEARCH("BitMark",F91)),IF(ABS(E90-zerospace)&lt;(Tolerance*zerospace),1,0),"BitMark")))))</f>
        <v>BitMark</v>
      </c>
    </row>
    <row r="91" spans="2:6" x14ac:dyDescent="0.25">
      <c r="B91" s="5" t="s">
        <v>108</v>
      </c>
      <c r="C91" s="3">
        <v>418</v>
      </c>
      <c r="D91" s="3">
        <v>196</v>
      </c>
      <c r="E91" s="3">
        <f t="shared" si="1"/>
        <v>392</v>
      </c>
      <c r="F91" s="3" cm="1">
        <f t="array" ref="F91">IF(ABS(E91-hdrmark)&lt;(Tolerance*hdrmark),"HdrMark",IF(ABS(E91-hdrspace)&lt;(Tolerance*hdrspace),"HdrSpace",(IF(ABS(E91-gap)&lt;(Tolerance*gap),"Gap",IF(ISNUMBER(SEARCH("BitMark",F92)),IF(ABS(E91-zerospace)&lt;(Tolerance*zerospace),1,0),"BitMark")))))</f>
        <v>0</v>
      </c>
    </row>
    <row r="92" spans="2:6" ht="15" customHeight="1" x14ac:dyDescent="0.25">
      <c r="B92" s="5" t="s">
        <v>109</v>
      </c>
      <c r="C92" s="3">
        <v>448</v>
      </c>
      <c r="D92" s="3">
        <v>239</v>
      </c>
      <c r="E92" s="3">
        <f t="shared" si="1"/>
        <v>478</v>
      </c>
      <c r="F92" s="3" t="str" cm="1">
        <f t="array" ref="F92">IF(ABS(E92-hdrmark)&lt;(Tolerance*hdrmark),"HdrMark",IF(ABS(E92-hdrspace)&lt;(Tolerance*hdrspace),"HdrSpace",(IF(ABS(E92-gap)&lt;(Tolerance*gap),"Gap",IF(ISNUMBER(SEARCH("BitMark",F93)),IF(ABS(E92-zerospace)&lt;(Tolerance*zerospace),1,0),"BitMark")))))</f>
        <v>BitMark</v>
      </c>
    </row>
    <row r="93" spans="2:6" x14ac:dyDescent="0.25">
      <c r="B93" s="5" t="s">
        <v>110</v>
      </c>
      <c r="C93" s="3">
        <v>414</v>
      </c>
      <c r="D93" s="3">
        <v>216</v>
      </c>
      <c r="E93" s="3">
        <f t="shared" si="1"/>
        <v>432</v>
      </c>
      <c r="F93" s="3" cm="1">
        <f t="array" ref="F93">IF(ABS(E93-hdrmark)&lt;(Tolerance*hdrmark),"HdrMark",IF(ABS(E93-hdrspace)&lt;(Tolerance*hdrspace),"HdrSpace",(IF(ABS(E93-gap)&lt;(Tolerance*gap),"Gap",IF(ISNUMBER(SEARCH("BitMark",F94)),IF(ABS(E93-zerospace)&lt;(Tolerance*zerospace),1,0),"BitMark")))))</f>
        <v>0</v>
      </c>
    </row>
    <row r="94" spans="2:6" ht="15" customHeight="1" x14ac:dyDescent="0.25">
      <c r="B94" s="5" t="s">
        <v>111</v>
      </c>
      <c r="C94" s="3">
        <v>442</v>
      </c>
      <c r="D94" s="3">
        <v>214</v>
      </c>
      <c r="E94" s="3">
        <f t="shared" si="1"/>
        <v>428</v>
      </c>
      <c r="F94" s="3" t="str" cm="1">
        <f t="array" ref="F94">IF(ABS(E94-hdrmark)&lt;(Tolerance*hdrmark),"HdrMark",IF(ABS(E94-hdrspace)&lt;(Tolerance*hdrspace),"HdrSpace",(IF(ABS(E94-gap)&lt;(Tolerance*gap),"Gap",IF(ISNUMBER(SEARCH("BitMark",F95)),IF(ABS(E94-zerospace)&lt;(Tolerance*zerospace),1,0),"BitMark")))))</f>
        <v>BitMark</v>
      </c>
    </row>
    <row r="95" spans="2:6" x14ac:dyDescent="0.25">
      <c r="B95" s="5" t="s">
        <v>112</v>
      </c>
      <c r="C95" s="3">
        <v>420</v>
      </c>
      <c r="D95" s="3">
        <v>201</v>
      </c>
      <c r="E95" s="3">
        <f t="shared" si="1"/>
        <v>402</v>
      </c>
      <c r="F95" s="3" cm="1">
        <f t="array" ref="F95">IF(ABS(E95-hdrmark)&lt;(Tolerance*hdrmark),"HdrMark",IF(ABS(E95-hdrspace)&lt;(Tolerance*hdrspace),"HdrSpace",(IF(ABS(E95-gap)&lt;(Tolerance*gap),"Gap",IF(ISNUMBER(SEARCH("BitMark",F96)),IF(ABS(E95-zerospace)&lt;(Tolerance*zerospace),1,0),"BitMark")))))</f>
        <v>0</v>
      </c>
    </row>
    <row r="96" spans="2:6" ht="15" customHeight="1" x14ac:dyDescent="0.25">
      <c r="B96" s="5" t="s">
        <v>113</v>
      </c>
      <c r="C96" s="3">
        <v>482</v>
      </c>
      <c r="D96" s="3">
        <v>249</v>
      </c>
      <c r="E96" s="3">
        <f t="shared" si="1"/>
        <v>498</v>
      </c>
      <c r="F96" s="3" t="str" cm="1">
        <f t="array" ref="F96">IF(ABS(E96-hdrmark)&lt;(Tolerance*hdrmark),"HdrMark",IF(ABS(E96-hdrspace)&lt;(Tolerance*hdrspace),"HdrSpace",(IF(ABS(E96-gap)&lt;(Tolerance*gap),"Gap",IF(ISNUMBER(SEARCH("BitMark",F97)),IF(ABS(E96-zerospace)&lt;(Tolerance*zerospace),1,0),"BitMark")))))</f>
        <v>BitMark</v>
      </c>
    </row>
    <row r="97" spans="2:6" x14ac:dyDescent="0.25">
      <c r="B97" s="5" t="s">
        <v>114</v>
      </c>
      <c r="C97" s="3">
        <v>380</v>
      </c>
      <c r="D97" s="3">
        <v>185</v>
      </c>
      <c r="E97" s="3">
        <f t="shared" si="1"/>
        <v>370</v>
      </c>
      <c r="F97" s="3" cm="1">
        <f t="array" ref="F97">IF(ABS(E97-hdrmark)&lt;(Tolerance*hdrmark),"HdrMark",IF(ABS(E97-hdrspace)&lt;(Tolerance*hdrspace),"HdrSpace",(IF(ABS(E97-gap)&lt;(Tolerance*gap),"Gap",IF(ISNUMBER(SEARCH("BitMark",F98)),IF(ABS(E97-zerospace)&lt;(Tolerance*zerospace),1,0),"BitMark")))))</f>
        <v>0</v>
      </c>
    </row>
    <row r="98" spans="2:6" ht="15" customHeight="1" x14ac:dyDescent="0.25">
      <c r="B98" s="5" t="s">
        <v>115</v>
      </c>
      <c r="C98" s="3">
        <v>440</v>
      </c>
      <c r="D98" s="3">
        <v>234</v>
      </c>
      <c r="E98" s="3">
        <f t="shared" si="1"/>
        <v>468</v>
      </c>
      <c r="F98" s="3" t="str" cm="1">
        <f t="array" ref="F98">IF(ABS(E98-hdrmark)&lt;(Tolerance*hdrmark),"HdrMark",IF(ABS(E98-hdrspace)&lt;(Tolerance*hdrspace),"HdrSpace",(IF(ABS(E98-gap)&lt;(Tolerance*gap),"Gap",IF(ISNUMBER(SEARCH("BitMark",F99)),IF(ABS(E98-zerospace)&lt;(Tolerance*zerospace),1,0),"BitMark")))))</f>
        <v>BitMark</v>
      </c>
    </row>
    <row r="99" spans="2:6" x14ac:dyDescent="0.25">
      <c r="B99" s="5" t="s">
        <v>116</v>
      </c>
      <c r="C99" s="3">
        <v>422</v>
      </c>
      <c r="D99" s="3">
        <v>199</v>
      </c>
      <c r="E99" s="3">
        <f t="shared" si="1"/>
        <v>398</v>
      </c>
      <c r="F99" s="3" cm="1">
        <f t="array" ref="F99">IF(ABS(E99-hdrmark)&lt;(Tolerance*hdrmark),"HdrMark",IF(ABS(E99-hdrspace)&lt;(Tolerance*hdrspace),"HdrSpace",(IF(ABS(E99-gap)&lt;(Tolerance*gap),"Gap",IF(ISNUMBER(SEARCH("BitMark",F100)),IF(ABS(E99-zerospace)&lt;(Tolerance*zerospace),1,0),"BitMark")))))</f>
        <v>0</v>
      </c>
    </row>
    <row r="100" spans="2:6" ht="15" customHeight="1" x14ac:dyDescent="0.25">
      <c r="B100" s="5" t="s">
        <v>117</v>
      </c>
      <c r="C100" s="3">
        <v>446</v>
      </c>
      <c r="D100" s="3">
        <v>236</v>
      </c>
      <c r="E100" s="3">
        <f t="shared" si="1"/>
        <v>472</v>
      </c>
      <c r="F100" s="3" t="str" cm="1">
        <f t="array" ref="F100">IF(ABS(E100-hdrmark)&lt;(Tolerance*hdrmark),"HdrMark",IF(ABS(E100-hdrspace)&lt;(Tolerance*hdrspace),"HdrSpace",(IF(ABS(E100-gap)&lt;(Tolerance*gap),"Gap",IF(ISNUMBER(SEARCH("BitMark",F101)),IF(ABS(E100-zerospace)&lt;(Tolerance*zerospace),1,0),"BitMark")))))</f>
        <v>BitMark</v>
      </c>
    </row>
    <row r="101" spans="2:6" x14ac:dyDescent="0.25">
      <c r="B101" s="5" t="s">
        <v>118</v>
      </c>
      <c r="C101" s="3">
        <v>418</v>
      </c>
      <c r="D101" s="3">
        <v>199</v>
      </c>
      <c r="E101" s="3">
        <f t="shared" si="1"/>
        <v>398</v>
      </c>
      <c r="F101" s="3" cm="1">
        <f t="array" ref="F101">IF(ABS(E101-hdrmark)&lt;(Tolerance*hdrmark),"HdrMark",IF(ABS(E101-hdrspace)&lt;(Tolerance*hdrspace),"HdrSpace",(IF(ABS(E101-gap)&lt;(Tolerance*gap),"Gap",IF(ISNUMBER(SEARCH("BitMark",F102)),IF(ABS(E101-zerospace)&lt;(Tolerance*zerospace),1,0),"BitMark")))))</f>
        <v>0</v>
      </c>
    </row>
    <row r="102" spans="2:6" ht="15" customHeight="1" x14ac:dyDescent="0.25">
      <c r="B102" s="5" t="s">
        <v>119</v>
      </c>
      <c r="C102" s="3">
        <v>450</v>
      </c>
      <c r="D102" s="3">
        <v>236</v>
      </c>
      <c r="E102" s="3">
        <f t="shared" si="1"/>
        <v>472</v>
      </c>
      <c r="F102" s="3" t="str" cm="1">
        <f t="array" ref="F102">IF(ABS(E102-hdrmark)&lt;(Tolerance*hdrmark),"HdrMark",IF(ABS(E102-hdrspace)&lt;(Tolerance*hdrspace),"HdrSpace",(IF(ABS(E102-gap)&lt;(Tolerance*gap),"Gap",IF(ISNUMBER(SEARCH("BitMark",F103)),IF(ABS(E102-zerospace)&lt;(Tolerance*zerospace),1,0),"BitMark")))))</f>
        <v>BitMark</v>
      </c>
    </row>
    <row r="103" spans="2:6" x14ac:dyDescent="0.25">
      <c r="B103" s="5" t="s">
        <v>120</v>
      </c>
      <c r="C103" s="3">
        <v>412</v>
      </c>
      <c r="D103" s="3">
        <v>197</v>
      </c>
      <c r="E103" s="3">
        <f t="shared" si="1"/>
        <v>394</v>
      </c>
      <c r="F103" s="3" cm="1">
        <f t="array" ref="F103">IF(ABS(E103-hdrmark)&lt;(Tolerance*hdrmark),"HdrMark",IF(ABS(E103-hdrspace)&lt;(Tolerance*hdrspace),"HdrSpace",(IF(ABS(E103-gap)&lt;(Tolerance*gap),"Gap",IF(ISNUMBER(SEARCH("BitMark",F104)),IF(ABS(E103-zerospace)&lt;(Tolerance*zerospace),1,0),"BitMark")))))</f>
        <v>0</v>
      </c>
    </row>
    <row r="104" spans="2:6" ht="15" customHeight="1" x14ac:dyDescent="0.25">
      <c r="B104" s="5" t="s">
        <v>121</v>
      </c>
      <c r="C104" s="3">
        <v>442</v>
      </c>
      <c r="D104" s="3">
        <v>237</v>
      </c>
      <c r="E104" s="3">
        <f t="shared" si="1"/>
        <v>474</v>
      </c>
      <c r="F104" s="3" t="str" cm="1">
        <f t="array" ref="F104">IF(ABS(E104-hdrmark)&lt;(Tolerance*hdrmark),"HdrMark",IF(ABS(E104-hdrspace)&lt;(Tolerance*hdrspace),"HdrSpace",(IF(ABS(E104-gap)&lt;(Tolerance*gap),"Gap",IF(ISNUMBER(SEARCH("BitMark",F105)),IF(ABS(E104-zerospace)&lt;(Tolerance*zerospace),1,0),"BitMark")))))</f>
        <v>BitMark</v>
      </c>
    </row>
    <row r="105" spans="2:6" x14ac:dyDescent="0.25">
      <c r="B105" s="5" t="s">
        <v>122</v>
      </c>
      <c r="C105" s="3">
        <v>422</v>
      </c>
      <c r="D105" s="3">
        <v>213</v>
      </c>
      <c r="E105" s="3">
        <f t="shared" si="1"/>
        <v>426</v>
      </c>
      <c r="F105" s="3" cm="1">
        <f t="array" ref="F105">IF(ABS(E105-hdrmark)&lt;(Tolerance*hdrmark),"HdrMark",IF(ABS(E105-hdrspace)&lt;(Tolerance*hdrspace),"HdrSpace",(IF(ABS(E105-gap)&lt;(Tolerance*gap),"Gap",IF(ISNUMBER(SEARCH("BitMark",F106)),IF(ABS(E105-zerospace)&lt;(Tolerance*zerospace),1,0),"BitMark")))))</f>
        <v>0</v>
      </c>
    </row>
    <row r="106" spans="2:6" ht="15" customHeight="1" x14ac:dyDescent="0.25">
      <c r="B106" s="5" t="s">
        <v>123</v>
      </c>
      <c r="C106" s="3">
        <v>446</v>
      </c>
      <c r="D106" s="3">
        <v>222</v>
      </c>
      <c r="E106" s="3">
        <f t="shared" si="1"/>
        <v>444</v>
      </c>
      <c r="F106" s="3" t="str" cm="1">
        <f t="array" ref="F106">IF(ABS(E106-hdrmark)&lt;(Tolerance*hdrmark),"HdrMark",IF(ABS(E106-hdrspace)&lt;(Tolerance*hdrspace),"HdrSpace",(IF(ABS(E106-gap)&lt;(Tolerance*gap),"Gap",IF(ISNUMBER(SEARCH("BitMark",F107)),IF(ABS(E106-zerospace)&lt;(Tolerance*zerospace),1,0),"BitMark")))))</f>
        <v>BitMark</v>
      </c>
    </row>
    <row r="107" spans="2:6" x14ac:dyDescent="0.25">
      <c r="B107" s="5" t="s">
        <v>124</v>
      </c>
      <c r="C107" s="3">
        <v>414</v>
      </c>
      <c r="D107" s="3">
        <v>194</v>
      </c>
      <c r="E107" s="3">
        <f t="shared" si="1"/>
        <v>388</v>
      </c>
      <c r="F107" s="3" cm="1">
        <f t="array" ref="F107">IF(ABS(E107-hdrmark)&lt;(Tolerance*hdrmark),"HdrMark",IF(ABS(E107-hdrspace)&lt;(Tolerance*hdrspace),"HdrSpace",(IF(ABS(E107-gap)&lt;(Tolerance*gap),"Gap",IF(ISNUMBER(SEARCH("BitMark",F108)),IF(ABS(E107-zerospace)&lt;(Tolerance*zerospace),1,0),"BitMark")))))</f>
        <v>0</v>
      </c>
    </row>
    <row r="108" spans="2:6" ht="15" customHeight="1" x14ac:dyDescent="0.25">
      <c r="B108" s="5" t="s">
        <v>125</v>
      </c>
      <c r="C108" s="3">
        <v>442</v>
      </c>
      <c r="D108" s="3">
        <v>235</v>
      </c>
      <c r="E108" s="3">
        <f t="shared" si="1"/>
        <v>470</v>
      </c>
      <c r="F108" s="3" t="str" cm="1">
        <f t="array" ref="F108">IF(ABS(E108-hdrmark)&lt;(Tolerance*hdrmark),"HdrMark",IF(ABS(E108-hdrspace)&lt;(Tolerance*hdrspace),"HdrSpace",(IF(ABS(E108-gap)&lt;(Tolerance*gap),"Gap",IF(ISNUMBER(SEARCH("BitMark",F109)),IF(ABS(E108-zerospace)&lt;(Tolerance*zerospace),1,0),"BitMark")))))</f>
        <v>BitMark</v>
      </c>
    </row>
    <row r="109" spans="2:6" x14ac:dyDescent="0.25">
      <c r="B109" s="5" t="s">
        <v>126</v>
      </c>
      <c r="C109" s="3">
        <v>420</v>
      </c>
      <c r="D109" s="3">
        <v>198</v>
      </c>
      <c r="E109" s="3">
        <f t="shared" si="1"/>
        <v>396</v>
      </c>
      <c r="F109" s="3" cm="1">
        <f t="array" ref="F109">IF(ABS(E109-hdrmark)&lt;(Tolerance*hdrmark),"HdrMark",IF(ABS(E109-hdrspace)&lt;(Tolerance*hdrspace),"HdrSpace",(IF(ABS(E109-gap)&lt;(Tolerance*gap),"Gap",IF(ISNUMBER(SEARCH("BitMark",F110)),IF(ABS(E109-zerospace)&lt;(Tolerance*zerospace),1,0),"BitMark")))))</f>
        <v>0</v>
      </c>
    </row>
    <row r="110" spans="2:6" ht="15" customHeight="1" x14ac:dyDescent="0.25">
      <c r="B110" s="5" t="s">
        <v>127</v>
      </c>
      <c r="C110" s="3">
        <v>446</v>
      </c>
      <c r="D110" s="3">
        <v>237</v>
      </c>
      <c r="E110" s="3">
        <f t="shared" si="1"/>
        <v>474</v>
      </c>
      <c r="F110" s="3" t="str" cm="1">
        <f t="array" ref="F110">IF(ABS(E110-hdrmark)&lt;(Tolerance*hdrmark),"HdrMark",IF(ABS(E110-hdrspace)&lt;(Tolerance*hdrspace),"HdrSpace",(IF(ABS(E110-gap)&lt;(Tolerance*gap),"Gap",IF(ISNUMBER(SEARCH("BitMark",F111)),IF(ABS(E110-zerospace)&lt;(Tolerance*zerospace),1,0),"BitMark")))))</f>
        <v>BitMark</v>
      </c>
    </row>
    <row r="111" spans="2:6" x14ac:dyDescent="0.25">
      <c r="B111" s="5" t="s">
        <v>128</v>
      </c>
      <c r="C111" s="3">
        <v>416</v>
      </c>
      <c r="D111" s="3">
        <v>196</v>
      </c>
      <c r="E111" s="3">
        <f t="shared" si="1"/>
        <v>392</v>
      </c>
      <c r="F111" s="3" cm="1">
        <f t="array" ref="F111">IF(ABS(E111-hdrmark)&lt;(Tolerance*hdrmark),"HdrMark",IF(ABS(E111-hdrspace)&lt;(Tolerance*hdrspace),"HdrSpace",(IF(ABS(E111-gap)&lt;(Tolerance*gap),"Gap",IF(ISNUMBER(SEARCH("BitMark",F112)),IF(ABS(E111-zerospace)&lt;(Tolerance*zerospace),1,0),"BitMark")))))</f>
        <v>0</v>
      </c>
    </row>
    <row r="112" spans="2:6" ht="15" customHeight="1" x14ac:dyDescent="0.25">
      <c r="B112" s="5" t="s">
        <v>129</v>
      </c>
      <c r="C112" s="3">
        <v>440</v>
      </c>
      <c r="D112" s="3">
        <v>238</v>
      </c>
      <c r="E112" s="3">
        <f t="shared" si="1"/>
        <v>476</v>
      </c>
      <c r="F112" s="3" t="str" cm="1">
        <f t="array" ref="F112">IF(ABS(E112-hdrmark)&lt;(Tolerance*hdrmark),"HdrMark",IF(ABS(E112-hdrspace)&lt;(Tolerance*hdrspace),"HdrSpace",(IF(ABS(E112-gap)&lt;(Tolerance*gap),"Gap",IF(ISNUMBER(SEARCH("BitMark",F113)),IF(ABS(E112-zerospace)&lt;(Tolerance*zerospace),1,0),"BitMark")))))</f>
        <v>BitMark</v>
      </c>
    </row>
    <row r="113" spans="2:6" x14ac:dyDescent="0.25">
      <c r="B113" s="5" t="s">
        <v>130</v>
      </c>
      <c r="C113" s="3">
        <v>422</v>
      </c>
      <c r="D113" s="3">
        <v>209</v>
      </c>
      <c r="E113" s="3">
        <f t="shared" si="1"/>
        <v>418</v>
      </c>
      <c r="F113" s="3" cm="1">
        <f t="array" ref="F113">IF(ABS(E113-hdrmark)&lt;(Tolerance*hdrmark),"HdrMark",IF(ABS(E113-hdrspace)&lt;(Tolerance*hdrspace),"HdrSpace",(IF(ABS(E113-gap)&lt;(Tolerance*gap),"Gap",IF(ISNUMBER(SEARCH("BitMark",F114)),IF(ABS(E113-zerospace)&lt;(Tolerance*zerospace),1,0),"BitMark")))))</f>
        <v>0</v>
      </c>
    </row>
    <row r="114" spans="2:6" ht="15" customHeight="1" x14ac:dyDescent="0.25">
      <c r="B114" s="5" t="s">
        <v>131</v>
      </c>
      <c r="C114" s="3">
        <v>444</v>
      </c>
      <c r="D114" s="3">
        <v>221</v>
      </c>
      <c r="E114" s="3">
        <f t="shared" si="1"/>
        <v>442</v>
      </c>
      <c r="F114" s="3" t="str" cm="1">
        <f t="array" ref="F114">IF(ABS(E114-hdrmark)&lt;(Tolerance*hdrmark),"HdrMark",IF(ABS(E114-hdrspace)&lt;(Tolerance*hdrspace),"HdrSpace",(IF(ABS(E114-gap)&lt;(Tolerance*gap),"Gap",IF(ISNUMBER(SEARCH("BitMark",F115)),IF(ABS(E114-zerospace)&lt;(Tolerance*zerospace),1,0),"BitMark")))))</f>
        <v>BitMark</v>
      </c>
    </row>
    <row r="115" spans="2:6" x14ac:dyDescent="0.25">
      <c r="B115" s="5" t="s">
        <v>132</v>
      </c>
      <c r="C115" s="3">
        <v>418</v>
      </c>
      <c r="D115" s="3">
        <v>199</v>
      </c>
      <c r="E115" s="3">
        <f t="shared" si="1"/>
        <v>398</v>
      </c>
      <c r="F115" s="3" cm="1">
        <f t="array" ref="F115">IF(ABS(E115-hdrmark)&lt;(Tolerance*hdrmark),"HdrMark",IF(ABS(E115-hdrspace)&lt;(Tolerance*hdrspace),"HdrSpace",(IF(ABS(E115-gap)&lt;(Tolerance*gap),"Gap",IF(ISNUMBER(SEARCH("BitMark",F116)),IF(ABS(E115-zerospace)&lt;(Tolerance*zerospace),1,0),"BitMark")))))</f>
        <v>0</v>
      </c>
    </row>
    <row r="116" spans="2:6" ht="15" customHeight="1" x14ac:dyDescent="0.25">
      <c r="B116" s="5" t="s">
        <v>133</v>
      </c>
      <c r="C116" s="3">
        <v>448</v>
      </c>
      <c r="D116" s="3">
        <v>236</v>
      </c>
      <c r="E116" s="3">
        <f t="shared" si="1"/>
        <v>472</v>
      </c>
      <c r="F116" s="3" t="str" cm="1">
        <f t="array" ref="F116">IF(ABS(E116-hdrmark)&lt;(Tolerance*hdrmark),"HdrMark",IF(ABS(E116-hdrspace)&lt;(Tolerance*hdrspace),"HdrSpace",(IF(ABS(E116-gap)&lt;(Tolerance*gap),"Gap",IF(ISNUMBER(SEARCH("BitMark",F117)),IF(ABS(E116-zerospace)&lt;(Tolerance*zerospace),1,0),"BitMark")))))</f>
        <v>BitMark</v>
      </c>
    </row>
    <row r="117" spans="2:6" x14ac:dyDescent="0.25">
      <c r="B117" s="5" t="s">
        <v>134</v>
      </c>
      <c r="C117" s="3">
        <v>414</v>
      </c>
      <c r="D117" s="3">
        <v>197</v>
      </c>
      <c r="E117" s="3">
        <f t="shared" si="1"/>
        <v>394</v>
      </c>
      <c r="F117" s="3" cm="1">
        <f t="array" ref="F117">IF(ABS(E117-hdrmark)&lt;(Tolerance*hdrmark),"HdrMark",IF(ABS(E117-hdrspace)&lt;(Tolerance*hdrspace),"HdrSpace",(IF(ABS(E117-gap)&lt;(Tolerance*gap),"Gap",IF(ISNUMBER(SEARCH("BitMark",F118)),IF(ABS(E117-zerospace)&lt;(Tolerance*zerospace),1,0),"BitMark")))))</f>
        <v>0</v>
      </c>
    </row>
    <row r="118" spans="2:6" ht="15" customHeight="1" x14ac:dyDescent="0.25">
      <c r="B118" s="5" t="s">
        <v>135</v>
      </c>
      <c r="C118" s="3">
        <v>442</v>
      </c>
      <c r="D118" s="3">
        <v>238</v>
      </c>
      <c r="E118" s="3">
        <f t="shared" si="1"/>
        <v>476</v>
      </c>
      <c r="F118" s="3" t="str" cm="1">
        <f t="array" ref="F118">IF(ABS(E118-hdrmark)&lt;(Tolerance*hdrmark),"HdrMark",IF(ABS(E118-hdrspace)&lt;(Tolerance*hdrspace),"HdrSpace",(IF(ABS(E118-gap)&lt;(Tolerance*gap),"Gap",IF(ISNUMBER(SEARCH("BitMark",F119)),IF(ABS(E118-zerospace)&lt;(Tolerance*zerospace),1,0),"BitMark")))))</f>
        <v>BitMark</v>
      </c>
    </row>
    <row r="119" spans="2:6" x14ac:dyDescent="0.25">
      <c r="B119" s="5" t="s">
        <v>136</v>
      </c>
      <c r="C119" s="3">
        <v>420</v>
      </c>
      <c r="D119" s="3">
        <v>196</v>
      </c>
      <c r="E119" s="3">
        <f t="shared" si="1"/>
        <v>392</v>
      </c>
      <c r="F119" s="3" cm="1">
        <f t="array" ref="F119">IF(ABS(E119-hdrmark)&lt;(Tolerance*hdrmark),"HdrMark",IF(ABS(E119-hdrspace)&lt;(Tolerance*hdrspace),"HdrSpace",(IF(ABS(E119-gap)&lt;(Tolerance*gap),"Gap",IF(ISNUMBER(SEARCH("BitMark",F120)),IF(ABS(E119-zerospace)&lt;(Tolerance*zerospace),1,0),"BitMark")))))</f>
        <v>0</v>
      </c>
    </row>
    <row r="120" spans="2:6" ht="15" customHeight="1" x14ac:dyDescent="0.25">
      <c r="B120" s="5" t="s">
        <v>137</v>
      </c>
      <c r="C120" s="3">
        <v>446</v>
      </c>
      <c r="D120" s="3">
        <v>239</v>
      </c>
      <c r="E120" s="3">
        <f t="shared" si="1"/>
        <v>478</v>
      </c>
      <c r="F120" s="3" t="str" cm="1">
        <f t="array" ref="F120">IF(ABS(E120-hdrmark)&lt;(Tolerance*hdrmark),"HdrMark",IF(ABS(E120-hdrspace)&lt;(Tolerance*hdrspace),"HdrSpace",(IF(ABS(E120-gap)&lt;(Tolerance*gap),"Gap",IF(ISNUMBER(SEARCH("BitMark",F121)),IF(ABS(E120-zerospace)&lt;(Tolerance*zerospace),1,0),"BitMark")))))</f>
        <v>BitMark</v>
      </c>
    </row>
    <row r="121" spans="2:6" x14ac:dyDescent="0.25">
      <c r="B121" s="5" t="s">
        <v>138</v>
      </c>
      <c r="C121" s="3">
        <v>414</v>
      </c>
      <c r="D121" s="3">
        <v>192</v>
      </c>
      <c r="E121" s="3">
        <f t="shared" si="1"/>
        <v>384</v>
      </c>
      <c r="F121" s="3" cm="1">
        <f t="array" ref="F121">IF(ABS(E121-hdrmark)&lt;(Tolerance*hdrmark),"HdrMark",IF(ABS(E121-hdrspace)&lt;(Tolerance*hdrspace),"HdrSpace",(IF(ABS(E121-gap)&lt;(Tolerance*gap),"Gap",IF(ISNUMBER(SEARCH("BitMark",F122)),IF(ABS(E121-zerospace)&lt;(Tolerance*zerospace),1,0),"BitMark")))))</f>
        <v>0</v>
      </c>
    </row>
    <row r="122" spans="2:6" ht="15" customHeight="1" x14ac:dyDescent="0.25">
      <c r="B122" s="5" t="s">
        <v>139</v>
      </c>
      <c r="C122" s="3">
        <v>468</v>
      </c>
      <c r="D122" s="3">
        <v>253</v>
      </c>
      <c r="E122" s="3">
        <f t="shared" si="1"/>
        <v>506</v>
      </c>
      <c r="F122" s="3" t="str" cm="1">
        <f t="array" ref="F122">IF(ABS(E122-hdrmark)&lt;(Tolerance*hdrmark),"HdrMark",IF(ABS(E122-hdrspace)&lt;(Tolerance*hdrspace),"HdrSpace",(IF(ABS(E122-gap)&lt;(Tolerance*gap),"Gap",IF(ISNUMBER(SEARCH("BitMark",F123)),IF(ABS(E122-zerospace)&lt;(Tolerance*zerospace),1,0),"BitMark")))))</f>
        <v>BitMark</v>
      </c>
    </row>
    <row r="123" spans="2:6" x14ac:dyDescent="0.25">
      <c r="B123" s="5" t="s">
        <v>140</v>
      </c>
      <c r="C123" s="3">
        <v>394</v>
      </c>
      <c r="D123" s="3">
        <v>182</v>
      </c>
      <c r="E123" s="3">
        <f t="shared" si="1"/>
        <v>364</v>
      </c>
      <c r="F123" s="3" cm="1">
        <f t="array" ref="F123">IF(ABS(E123-hdrmark)&lt;(Tolerance*hdrmark),"HdrMark",IF(ABS(E123-hdrspace)&lt;(Tolerance*hdrspace),"HdrSpace",(IF(ABS(E123-gap)&lt;(Tolerance*gap),"Gap",IF(ISNUMBER(SEARCH("BitMark",F124)),IF(ABS(E123-zerospace)&lt;(Tolerance*zerospace),1,0),"BitMark")))))</f>
        <v>0</v>
      </c>
    </row>
    <row r="124" spans="2:6" ht="15" customHeight="1" x14ac:dyDescent="0.25">
      <c r="B124" s="5" t="s">
        <v>141</v>
      </c>
      <c r="C124" s="3">
        <v>446</v>
      </c>
      <c r="D124" s="3">
        <v>237</v>
      </c>
      <c r="E124" s="3">
        <f t="shared" si="1"/>
        <v>474</v>
      </c>
      <c r="F124" s="3" t="str" cm="1">
        <f t="array" ref="F124">IF(ABS(E124-hdrmark)&lt;(Tolerance*hdrmark),"HdrMark",IF(ABS(E124-hdrspace)&lt;(Tolerance*hdrspace),"HdrSpace",(IF(ABS(E124-gap)&lt;(Tolerance*gap),"Gap",IF(ISNUMBER(SEARCH("BitMark",F125)),IF(ABS(E124-zerospace)&lt;(Tolerance*zerospace),1,0),"BitMark")))))</f>
        <v>BitMark</v>
      </c>
    </row>
    <row r="125" spans="2:6" x14ac:dyDescent="0.25">
      <c r="B125" s="5" t="s">
        <v>142</v>
      </c>
      <c r="C125" s="3">
        <v>416</v>
      </c>
      <c r="D125" s="3">
        <v>196</v>
      </c>
      <c r="E125" s="3">
        <f t="shared" si="1"/>
        <v>392</v>
      </c>
      <c r="F125" s="3" cm="1">
        <f t="array" ref="F125">IF(ABS(E125-hdrmark)&lt;(Tolerance*hdrmark),"HdrMark",IF(ABS(E125-hdrspace)&lt;(Tolerance*hdrspace),"HdrSpace",(IF(ABS(E125-gap)&lt;(Tolerance*gap),"Gap",IF(ISNUMBER(SEARCH("BitMark",F126)),IF(ABS(E125-zerospace)&lt;(Tolerance*zerospace),1,0),"BitMark")))))</f>
        <v>0</v>
      </c>
    </row>
    <row r="126" spans="2:6" ht="15" customHeight="1" x14ac:dyDescent="0.25">
      <c r="B126" s="5" t="s">
        <v>143</v>
      </c>
      <c r="C126" s="3">
        <v>440</v>
      </c>
      <c r="D126" s="3">
        <v>238</v>
      </c>
      <c r="E126" s="3">
        <f t="shared" si="1"/>
        <v>476</v>
      </c>
      <c r="F126" s="3" t="str" cm="1">
        <f t="array" ref="F126">IF(ABS(E126-hdrmark)&lt;(Tolerance*hdrmark),"HdrMark",IF(ABS(E126-hdrspace)&lt;(Tolerance*hdrspace),"HdrSpace",(IF(ABS(E126-gap)&lt;(Tolerance*gap),"Gap",IF(ISNUMBER(SEARCH("BitMark",F127)),IF(ABS(E126-zerospace)&lt;(Tolerance*zerospace),1,0),"BitMark")))))</f>
        <v>BitMark</v>
      </c>
    </row>
    <row r="127" spans="2:6" x14ac:dyDescent="0.25">
      <c r="B127" s="5" t="s">
        <v>144</v>
      </c>
      <c r="C127" s="3">
        <v>422</v>
      </c>
      <c r="D127" s="3">
        <v>195</v>
      </c>
      <c r="E127" s="3">
        <f t="shared" si="1"/>
        <v>390</v>
      </c>
      <c r="F127" s="3" cm="1">
        <f t="array" ref="F127">IF(ABS(E127-hdrmark)&lt;(Tolerance*hdrmark),"HdrMark",IF(ABS(E127-hdrspace)&lt;(Tolerance*hdrspace),"HdrSpace",(IF(ABS(E127-gap)&lt;(Tolerance*gap),"Gap",IF(ISNUMBER(SEARCH("BitMark",F128)),IF(ABS(E127-zerospace)&lt;(Tolerance*zerospace),1,0),"BitMark")))))</f>
        <v>0</v>
      </c>
    </row>
    <row r="128" spans="2:6" ht="15" customHeight="1" x14ac:dyDescent="0.25">
      <c r="B128" s="5" t="s">
        <v>145</v>
      </c>
      <c r="C128" s="3">
        <v>444</v>
      </c>
      <c r="D128" s="3">
        <v>234</v>
      </c>
      <c r="E128" s="3">
        <f t="shared" si="1"/>
        <v>468</v>
      </c>
      <c r="F128" s="3" t="str" cm="1">
        <f t="array" ref="F128">IF(ABS(E128-hdrmark)&lt;(Tolerance*hdrmark),"HdrMark",IF(ABS(E128-hdrspace)&lt;(Tolerance*hdrspace),"HdrSpace",(IF(ABS(E128-gap)&lt;(Tolerance*gap),"Gap",IF(ISNUMBER(SEARCH("BitMark",F129)),IF(ABS(E128-zerospace)&lt;(Tolerance*zerospace),1,0),"BitMark")))))</f>
        <v>BitMark</v>
      </c>
    </row>
    <row r="129" spans="2:6" x14ac:dyDescent="0.25">
      <c r="B129" s="5" t="s">
        <v>146</v>
      </c>
      <c r="C129" s="3">
        <v>1280</v>
      </c>
      <c r="D129" s="3">
        <v>630</v>
      </c>
      <c r="E129" s="3">
        <f t="shared" si="1"/>
        <v>1260</v>
      </c>
      <c r="F129" s="3" cm="1">
        <f t="array" ref="F129">IF(ABS(E129-hdrmark)&lt;(Tolerance*hdrmark),"HdrMark",IF(ABS(E129-hdrspace)&lt;(Tolerance*hdrspace),"HdrSpace",(IF(ABS(E129-gap)&lt;(Tolerance*gap),"Gap",IF(ISNUMBER(SEARCH("BitMark",F130)),IF(ABS(E129-zerospace)&lt;(Tolerance*zerospace),1,0),"BitMark")))))</f>
        <v>1</v>
      </c>
    </row>
    <row r="130" spans="2:6" ht="15" customHeight="1" x14ac:dyDescent="0.25">
      <c r="B130" s="5" t="s">
        <v>147</v>
      </c>
      <c r="C130" s="3">
        <v>442</v>
      </c>
      <c r="D130" s="3">
        <v>234</v>
      </c>
      <c r="E130" s="3">
        <f t="shared" si="1"/>
        <v>468</v>
      </c>
      <c r="F130" s="3" t="str" cm="1">
        <f t="array" ref="F130">IF(ABS(E130-hdrmark)&lt;(Tolerance*hdrmark),"HdrMark",IF(ABS(E130-hdrspace)&lt;(Tolerance*hdrspace),"HdrSpace",(IF(ABS(E130-gap)&lt;(Tolerance*gap),"Gap",IF(ISNUMBER(SEARCH("BitMark",F131)),IF(ABS(E130-zerospace)&lt;(Tolerance*zerospace),1,0),"BitMark")))))</f>
        <v>BitMark</v>
      </c>
    </row>
    <row r="131" spans="2:6" x14ac:dyDescent="0.25">
      <c r="B131" s="5" t="s">
        <v>148</v>
      </c>
      <c r="C131" s="3">
        <v>420</v>
      </c>
      <c r="D131" s="3">
        <v>200</v>
      </c>
      <c r="E131" s="3">
        <f t="shared" si="1"/>
        <v>400</v>
      </c>
      <c r="F131" s="3" cm="1">
        <f t="array" ref="F131">IF(ABS(E131-hdrmark)&lt;(Tolerance*hdrmark),"HdrMark",IF(ABS(E131-hdrspace)&lt;(Tolerance*hdrspace),"HdrSpace",(IF(ABS(E131-gap)&lt;(Tolerance*gap),"Gap",IF(ISNUMBER(SEARCH("BitMark",F132)),IF(ABS(E131-zerospace)&lt;(Tolerance*zerospace),1,0),"BitMark")))))</f>
        <v>0</v>
      </c>
    </row>
    <row r="132" spans="2:6" ht="15" customHeight="1" x14ac:dyDescent="0.25">
      <c r="B132" s="5" t="s">
        <v>149</v>
      </c>
      <c r="C132" s="3">
        <v>446</v>
      </c>
      <c r="D132" s="3">
        <v>235</v>
      </c>
      <c r="E132" s="3">
        <f t="shared" si="1"/>
        <v>470</v>
      </c>
      <c r="F132" s="3" t="str" cm="1">
        <f t="array" ref="F132">IF(ABS(E132-hdrmark)&lt;(Tolerance*hdrmark),"HdrMark",IF(ABS(E132-hdrspace)&lt;(Tolerance*hdrspace),"HdrSpace",(IF(ABS(E132-gap)&lt;(Tolerance*gap),"Gap",IF(ISNUMBER(SEARCH("BitMark",F133)),IF(ABS(E132-zerospace)&lt;(Tolerance*zerospace),1,0),"BitMark")))))</f>
        <v>BitMark</v>
      </c>
    </row>
    <row r="133" spans="2:6" x14ac:dyDescent="0.25">
      <c r="B133" s="5" t="s">
        <v>150</v>
      </c>
      <c r="C133" s="3">
        <v>416</v>
      </c>
      <c r="D133" s="3">
        <v>197</v>
      </c>
      <c r="E133" s="3">
        <f t="shared" si="1"/>
        <v>394</v>
      </c>
      <c r="F133" s="3" cm="1">
        <f t="array" ref="F133">IF(ABS(E133-hdrmark)&lt;(Tolerance*hdrmark),"HdrMark",IF(ABS(E133-hdrspace)&lt;(Tolerance*hdrspace),"HdrSpace",(IF(ABS(E133-gap)&lt;(Tolerance*gap),"Gap",IF(ISNUMBER(SEARCH("BitMark",F134)),IF(ABS(E133-zerospace)&lt;(Tolerance*zerospace),1,0),"BitMark")))))</f>
        <v>0</v>
      </c>
    </row>
    <row r="134" spans="2:6" ht="15" customHeight="1" x14ac:dyDescent="0.25">
      <c r="B134" s="5" t="s">
        <v>151</v>
      </c>
      <c r="C134" s="3">
        <v>440</v>
      </c>
      <c r="D134" s="3">
        <v>237</v>
      </c>
      <c r="E134" s="3">
        <f t="shared" si="1"/>
        <v>474</v>
      </c>
      <c r="F134" s="3" t="str" cm="1">
        <f t="array" ref="F134">IF(ABS(E134-hdrmark)&lt;(Tolerance*hdrmark),"HdrMark",IF(ABS(E134-hdrspace)&lt;(Tolerance*hdrspace),"HdrSpace",(IF(ABS(E134-gap)&lt;(Tolerance*gap),"Gap",IF(ISNUMBER(SEARCH("BitMark",F135)),IF(ABS(E134-zerospace)&lt;(Tolerance*zerospace),1,0),"BitMark")))))</f>
        <v>BitMark</v>
      </c>
    </row>
    <row r="135" spans="2:6" x14ac:dyDescent="0.25">
      <c r="B135" s="5" t="s">
        <v>152</v>
      </c>
      <c r="C135" s="3">
        <v>420</v>
      </c>
      <c r="D135" s="3">
        <v>195</v>
      </c>
      <c r="E135" s="3">
        <f t="shared" si="1"/>
        <v>390</v>
      </c>
      <c r="F135" s="3" cm="1">
        <f t="array" ref="F135">IF(ABS(E135-hdrmark)&lt;(Tolerance*hdrmark),"HdrMark",IF(ABS(E135-hdrspace)&lt;(Tolerance*hdrspace),"HdrSpace",(IF(ABS(E135-gap)&lt;(Tolerance*gap),"Gap",IF(ISNUMBER(SEARCH("BitMark",F136)),IF(ABS(E135-zerospace)&lt;(Tolerance*zerospace),1,0),"BitMark")))))</f>
        <v>0</v>
      </c>
    </row>
    <row r="136" spans="2:6" ht="15" customHeight="1" x14ac:dyDescent="0.25">
      <c r="B136" s="5" t="s">
        <v>153</v>
      </c>
      <c r="C136" s="3">
        <v>446</v>
      </c>
      <c r="D136" s="3">
        <v>235</v>
      </c>
      <c r="E136" s="3">
        <f t="shared" si="1"/>
        <v>470</v>
      </c>
      <c r="F136" s="3" t="str" cm="1">
        <f t="array" ref="F136">IF(ABS(E136-hdrmark)&lt;(Tolerance*hdrmark),"HdrMark",IF(ABS(E136-hdrspace)&lt;(Tolerance*hdrspace),"HdrSpace",(IF(ABS(E136-gap)&lt;(Tolerance*gap),"Gap",IF(ISNUMBER(SEARCH("BitMark",F137)),IF(ABS(E136-zerospace)&lt;(Tolerance*zerospace),1,0),"BitMark")))))</f>
        <v>BitMark</v>
      </c>
    </row>
    <row r="137" spans="2:6" x14ac:dyDescent="0.25">
      <c r="B137" s="5" t="s">
        <v>154</v>
      </c>
      <c r="C137" s="3">
        <v>416</v>
      </c>
      <c r="D137" s="3">
        <v>199</v>
      </c>
      <c r="E137" s="3">
        <f t="shared" si="1"/>
        <v>398</v>
      </c>
      <c r="F137" s="3" cm="1">
        <f t="array" ref="F137">IF(ABS(E137-hdrmark)&lt;(Tolerance*hdrmark),"HdrMark",IF(ABS(E137-hdrspace)&lt;(Tolerance*hdrspace),"HdrSpace",(IF(ABS(E137-gap)&lt;(Tolerance*gap),"Gap",IF(ISNUMBER(SEARCH("BitMark",F138)),IF(ABS(E137-zerospace)&lt;(Tolerance*zerospace),1,0),"BitMark")))))</f>
        <v>0</v>
      </c>
    </row>
    <row r="138" spans="2:6" ht="15" customHeight="1" x14ac:dyDescent="0.25">
      <c r="B138" s="5" t="s">
        <v>155</v>
      </c>
      <c r="C138" s="3">
        <v>440</v>
      </c>
      <c r="D138" s="3">
        <v>236</v>
      </c>
      <c r="E138" s="3">
        <f t="shared" si="1"/>
        <v>472</v>
      </c>
      <c r="F138" s="3" t="str" cm="1">
        <f t="array" ref="F138">IF(ABS(E138-hdrmark)&lt;(Tolerance*hdrmark),"HdrMark",IF(ABS(E138-hdrspace)&lt;(Tolerance*hdrspace),"HdrSpace",(IF(ABS(E138-gap)&lt;(Tolerance*gap),"Gap",IF(ISNUMBER(SEARCH("BitMark",F139)),IF(ABS(E138-zerospace)&lt;(Tolerance*zerospace),1,0),"BitMark")))))</f>
        <v>BitMark</v>
      </c>
    </row>
    <row r="139" spans="2:6" x14ac:dyDescent="0.25">
      <c r="B139" s="5" t="s">
        <v>156</v>
      </c>
      <c r="C139" s="3">
        <v>422</v>
      </c>
      <c r="D139" s="3">
        <v>197</v>
      </c>
      <c r="E139" s="3">
        <f t="shared" si="1"/>
        <v>394</v>
      </c>
      <c r="F139" s="3" cm="1">
        <f t="array" ref="F139">IF(ABS(E139-hdrmark)&lt;(Tolerance*hdrmark),"HdrMark",IF(ABS(E139-hdrspace)&lt;(Tolerance*hdrspace),"HdrSpace",(IF(ABS(E139-gap)&lt;(Tolerance*gap),"Gap",IF(ISNUMBER(SEARCH("BitMark",F140)),IF(ABS(E139-zerospace)&lt;(Tolerance*zerospace),1,0),"BitMark")))))</f>
        <v>0</v>
      </c>
    </row>
    <row r="140" spans="2:6" ht="15" customHeight="1" x14ac:dyDescent="0.25">
      <c r="B140" s="5" t="s">
        <v>157</v>
      </c>
      <c r="C140" s="3">
        <v>444</v>
      </c>
      <c r="D140" s="3">
        <v>237</v>
      </c>
      <c r="E140" s="3">
        <f t="shared" ref="E140:E203" si="2">D140*2</f>
        <v>474</v>
      </c>
      <c r="F140" s="3" t="str" cm="1">
        <f t="array" ref="F140">IF(ABS(E140-hdrmark)&lt;(Tolerance*hdrmark),"HdrMark",IF(ABS(E140-hdrspace)&lt;(Tolerance*hdrspace),"HdrSpace",(IF(ABS(E140-gap)&lt;(Tolerance*gap),"Gap",IF(ISNUMBER(SEARCH("BitMark",F141)),IF(ABS(E140-zerospace)&lt;(Tolerance*zerospace),1,0),"BitMark")))))</f>
        <v>BitMark</v>
      </c>
    </row>
    <row r="141" spans="2:6" x14ac:dyDescent="0.25">
      <c r="B141" s="5" t="s">
        <v>158</v>
      </c>
      <c r="C141" s="3">
        <v>418</v>
      </c>
      <c r="D141" s="3">
        <v>196</v>
      </c>
      <c r="E141" s="3">
        <f t="shared" si="2"/>
        <v>392</v>
      </c>
      <c r="F141" s="3" cm="1">
        <f t="array" ref="F141">IF(ABS(E141-hdrmark)&lt;(Tolerance*hdrmark),"HdrMark",IF(ABS(E141-hdrspace)&lt;(Tolerance*hdrspace),"HdrSpace",(IF(ABS(E141-gap)&lt;(Tolerance*gap),"Gap",IF(ISNUMBER(SEARCH("BitMark",F142)),IF(ABS(E141-zerospace)&lt;(Tolerance*zerospace),1,0),"BitMark")))))</f>
        <v>0</v>
      </c>
    </row>
    <row r="142" spans="2:6" ht="15" customHeight="1" x14ac:dyDescent="0.25">
      <c r="B142" s="5" t="s">
        <v>159</v>
      </c>
      <c r="C142" s="3">
        <v>448</v>
      </c>
      <c r="D142" s="3">
        <v>242</v>
      </c>
      <c r="E142" s="3">
        <f t="shared" si="2"/>
        <v>484</v>
      </c>
      <c r="F142" s="3" t="str" cm="1">
        <f t="array" ref="F142">IF(ABS(E142-hdrmark)&lt;(Tolerance*hdrmark),"HdrMark",IF(ABS(E142-hdrspace)&lt;(Tolerance*hdrspace),"HdrSpace",(IF(ABS(E142-gap)&lt;(Tolerance*gap),"Gap",IF(ISNUMBER(SEARCH("BitMark",F143)),IF(ABS(E142-zerospace)&lt;(Tolerance*zerospace),1,0),"BitMark")))))</f>
        <v>BitMark</v>
      </c>
    </row>
    <row r="143" spans="2:6" x14ac:dyDescent="0.25">
      <c r="B143" s="5" t="s">
        <v>160</v>
      </c>
      <c r="C143" s="3">
        <v>29638</v>
      </c>
      <c r="D143" s="3">
        <v>14804</v>
      </c>
      <c r="E143" s="3">
        <f t="shared" si="2"/>
        <v>29608</v>
      </c>
      <c r="F143" s="3" t="str" cm="1">
        <f t="array" ref="F143">IF(ABS(E143-hdrmark)&lt;(Tolerance*hdrmark),"HdrMark",IF(ABS(E143-hdrspace)&lt;(Tolerance*hdrspace),"HdrSpace",(IF(ABS(E143-gap)&lt;(Tolerance*gap),"Gap",IF(ISNUMBER(SEARCH("BitMark",F144)),IF(ABS(E143-zerospace)&lt;(Tolerance*zerospace),1,0),"BitMark")))))</f>
        <v>Gap</v>
      </c>
    </row>
    <row r="144" spans="2:6" ht="15" customHeight="1" x14ac:dyDescent="0.25">
      <c r="B144" s="5" t="s">
        <v>161</v>
      </c>
      <c r="C144" s="3">
        <v>3466</v>
      </c>
      <c r="D144" s="3">
        <v>1748</v>
      </c>
      <c r="E144" s="3">
        <f t="shared" si="2"/>
        <v>3496</v>
      </c>
      <c r="F144" s="3" t="str" cm="1">
        <f t="array" ref="F144">IF(ABS(E144-hdrmark)&lt;(Tolerance*hdrmark),"HdrMark",IF(ABS(E144-hdrspace)&lt;(Tolerance*hdrspace),"HdrSpace",(IF(ABS(E144-gap)&lt;(Tolerance*gap),"Gap",IF(ISNUMBER(SEARCH("BitMark",F145)),IF(ABS(E144-zerospace)&lt;(Tolerance*zerospace),1,0),"BitMark")))))</f>
        <v>HdrMark</v>
      </c>
    </row>
    <row r="145" spans="2:6" ht="15" customHeight="1" x14ac:dyDescent="0.25">
      <c r="B145" s="5" t="s">
        <v>162</v>
      </c>
      <c r="C145" s="3">
        <v>1708</v>
      </c>
      <c r="D145" s="3">
        <v>840</v>
      </c>
      <c r="E145" s="3">
        <f t="shared" si="2"/>
        <v>1680</v>
      </c>
      <c r="F145" s="3" t="str" cm="1">
        <f t="array" ref="F145">IF(ABS(E145-hdrmark)&lt;(Tolerance*hdrmark),"HdrMark",IF(ABS(E145-hdrspace)&lt;(Tolerance*hdrspace),"HdrSpace",(IF(ABS(E145-gap)&lt;(Tolerance*gap),"Gap",IF(ISNUMBER(SEARCH("BitMark",F146)),IF(ABS(E145-zerospace)&lt;(Tolerance*zerospace),1,0),"BitMark")))))</f>
        <v>HdrSpace</v>
      </c>
    </row>
    <row r="146" spans="2:6" ht="15" customHeight="1" x14ac:dyDescent="0.25">
      <c r="B146" s="5" t="s">
        <v>163</v>
      </c>
      <c r="C146" s="3">
        <v>442</v>
      </c>
      <c r="D146" s="3">
        <v>236</v>
      </c>
      <c r="E146" s="3">
        <f t="shared" si="2"/>
        <v>472</v>
      </c>
      <c r="F146" s="3" t="str" cm="1">
        <f t="array" ref="F146">IF(ABS(E146-hdrmark)&lt;(Tolerance*hdrmark),"HdrMark",IF(ABS(E146-hdrspace)&lt;(Tolerance*hdrspace),"HdrSpace",(IF(ABS(E146-gap)&lt;(Tolerance*gap),"Gap",IF(ISNUMBER(SEARCH("BitMark",F147)),IF(ABS(E146-zerospace)&lt;(Tolerance*zerospace),1,0),"BitMark")))))</f>
        <v>BitMark</v>
      </c>
    </row>
    <row r="147" spans="2:6" x14ac:dyDescent="0.25">
      <c r="B147" s="5" t="s">
        <v>164</v>
      </c>
      <c r="C147" s="3">
        <v>1282</v>
      </c>
      <c r="D147" s="3">
        <v>628</v>
      </c>
      <c r="E147" s="3">
        <f t="shared" si="2"/>
        <v>1256</v>
      </c>
      <c r="F147" s="3" cm="1">
        <f t="array" ref="F147">IF(ABS(E147-hdrmark)&lt;(Tolerance*hdrmark),"HdrMark",IF(ABS(E147-hdrspace)&lt;(Tolerance*hdrspace),"HdrSpace",(IF(ABS(E147-gap)&lt;(Tolerance*gap),"Gap",IF(ISNUMBER(SEARCH("BitMark",F148)),IF(ABS(E147-zerospace)&lt;(Tolerance*zerospace),1,0),"BitMark")))))</f>
        <v>1</v>
      </c>
    </row>
    <row r="148" spans="2:6" ht="15" customHeight="1" x14ac:dyDescent="0.25">
      <c r="B148" s="5" t="s">
        <v>165</v>
      </c>
      <c r="C148" s="3">
        <v>440</v>
      </c>
      <c r="D148" s="3">
        <v>237</v>
      </c>
      <c r="E148" s="3">
        <f t="shared" si="2"/>
        <v>474</v>
      </c>
      <c r="F148" s="3" t="str" cm="1">
        <f t="array" ref="F148">IF(ABS(E148-hdrmark)&lt;(Tolerance*hdrmark),"HdrMark",IF(ABS(E148-hdrspace)&lt;(Tolerance*hdrspace),"HdrSpace",(IF(ABS(E148-gap)&lt;(Tolerance*gap),"Gap",IF(ISNUMBER(SEARCH("BitMark",F149)),IF(ABS(E148-zerospace)&lt;(Tolerance*zerospace),1,0),"BitMark")))))</f>
        <v>BitMark</v>
      </c>
    </row>
    <row r="149" spans="2:6" x14ac:dyDescent="0.25">
      <c r="B149" s="5" t="s">
        <v>166</v>
      </c>
      <c r="C149" s="3">
        <v>422</v>
      </c>
      <c r="D149" s="3">
        <v>196</v>
      </c>
      <c r="E149" s="3">
        <f t="shared" si="2"/>
        <v>392</v>
      </c>
      <c r="F149" s="3" cm="1">
        <f t="array" ref="F149">IF(ABS(E149-hdrmark)&lt;(Tolerance*hdrmark),"HdrMark",IF(ABS(E149-hdrspace)&lt;(Tolerance*hdrspace),"HdrSpace",(IF(ABS(E149-gap)&lt;(Tolerance*gap),"Gap",IF(ISNUMBER(SEARCH("BitMark",F150)),IF(ABS(E149-zerospace)&lt;(Tolerance*zerospace),1,0),"BitMark")))))</f>
        <v>0</v>
      </c>
    </row>
    <row r="150" spans="2:6" ht="15" customHeight="1" x14ac:dyDescent="0.25">
      <c r="B150" s="5" t="s">
        <v>167</v>
      </c>
      <c r="C150" s="3">
        <v>444</v>
      </c>
      <c r="D150" s="3">
        <v>241</v>
      </c>
      <c r="E150" s="3">
        <f t="shared" si="2"/>
        <v>482</v>
      </c>
      <c r="F150" s="3" t="str" cm="1">
        <f t="array" ref="F150">IF(ABS(E150-hdrmark)&lt;(Tolerance*hdrmark),"HdrMark",IF(ABS(E150-hdrspace)&lt;(Tolerance*hdrspace),"HdrSpace",(IF(ABS(E150-gap)&lt;(Tolerance*gap),"Gap",IF(ISNUMBER(SEARCH("BitMark",F151)),IF(ABS(E150-zerospace)&lt;(Tolerance*zerospace),1,0),"BitMark")))))</f>
        <v>BitMark</v>
      </c>
    </row>
    <row r="151" spans="2:6" x14ac:dyDescent="0.25">
      <c r="B151" s="5" t="s">
        <v>168</v>
      </c>
      <c r="C151" s="3">
        <v>416</v>
      </c>
      <c r="D151" s="3">
        <v>205</v>
      </c>
      <c r="E151" s="3">
        <f t="shared" si="2"/>
        <v>410</v>
      </c>
      <c r="F151" s="3" cm="1">
        <f t="array" ref="F151">IF(ABS(E151-hdrmark)&lt;(Tolerance*hdrmark),"HdrMark",IF(ABS(E151-hdrspace)&lt;(Tolerance*hdrspace),"HdrSpace",(IF(ABS(E151-gap)&lt;(Tolerance*gap),"Gap",IF(ISNUMBER(SEARCH("BitMark",F152)),IF(ABS(E151-zerospace)&lt;(Tolerance*zerospace),1,0),"BitMark")))))</f>
        <v>0</v>
      </c>
    </row>
    <row r="152" spans="2:6" ht="15" customHeight="1" x14ac:dyDescent="0.25">
      <c r="B152" s="5" t="s">
        <v>169</v>
      </c>
      <c r="C152" s="3">
        <v>450</v>
      </c>
      <c r="D152" s="3">
        <v>222</v>
      </c>
      <c r="E152" s="3">
        <f t="shared" si="2"/>
        <v>444</v>
      </c>
      <c r="F152" s="3" t="str" cm="1">
        <f t="array" ref="F152">IF(ABS(E152-hdrmark)&lt;(Tolerance*hdrmark),"HdrMark",IF(ABS(E152-hdrspace)&lt;(Tolerance*hdrspace),"HdrSpace",(IF(ABS(E152-gap)&lt;(Tolerance*gap),"Gap",IF(ISNUMBER(SEARCH("BitMark",F153)),IF(ABS(E152-zerospace)&lt;(Tolerance*zerospace),1,0),"BitMark")))))</f>
        <v>BitMark</v>
      </c>
    </row>
    <row r="153" spans="2:6" x14ac:dyDescent="0.25">
      <c r="B153" s="5" t="s">
        <v>170</v>
      </c>
      <c r="C153" s="3">
        <v>412</v>
      </c>
      <c r="D153" s="3">
        <v>197</v>
      </c>
      <c r="E153" s="3">
        <f t="shared" si="2"/>
        <v>394</v>
      </c>
      <c r="F153" s="3" cm="1">
        <f t="array" ref="F153">IF(ABS(E153-hdrmark)&lt;(Tolerance*hdrmark),"HdrMark",IF(ABS(E153-hdrspace)&lt;(Tolerance*hdrspace),"HdrSpace",(IF(ABS(E153-gap)&lt;(Tolerance*gap),"Gap",IF(ISNUMBER(SEARCH("BitMark",F154)),IF(ABS(E153-zerospace)&lt;(Tolerance*zerospace),1,0),"BitMark")))))</f>
        <v>0</v>
      </c>
    </row>
    <row r="154" spans="2:6" ht="15" customHeight="1" x14ac:dyDescent="0.25">
      <c r="B154" s="5" t="s">
        <v>171</v>
      </c>
      <c r="C154" s="3">
        <v>444</v>
      </c>
      <c r="D154" s="3">
        <v>238</v>
      </c>
      <c r="E154" s="3">
        <f t="shared" si="2"/>
        <v>476</v>
      </c>
      <c r="F154" s="3" t="str" cm="1">
        <f t="array" ref="F154">IF(ABS(E154-hdrmark)&lt;(Tolerance*hdrmark),"HdrMark",IF(ABS(E154-hdrspace)&lt;(Tolerance*hdrspace),"HdrSpace",(IF(ABS(E154-gap)&lt;(Tolerance*gap),"Gap",IF(ISNUMBER(SEARCH("BitMark",F155)),IF(ABS(E154-zerospace)&lt;(Tolerance*zerospace),1,0),"BitMark")))))</f>
        <v>BitMark</v>
      </c>
    </row>
    <row r="155" spans="2:6" x14ac:dyDescent="0.25">
      <c r="B155" s="5" t="s">
        <v>172</v>
      </c>
      <c r="C155" s="3">
        <v>1282</v>
      </c>
      <c r="D155" s="3">
        <v>628</v>
      </c>
      <c r="E155" s="3">
        <f t="shared" si="2"/>
        <v>1256</v>
      </c>
      <c r="F155" s="3" cm="1">
        <f t="array" ref="F155">IF(ABS(E155-hdrmark)&lt;(Tolerance*hdrmark),"HdrMark",IF(ABS(E155-hdrspace)&lt;(Tolerance*hdrspace),"HdrSpace",(IF(ABS(E155-gap)&lt;(Tolerance*gap),"Gap",IF(ISNUMBER(SEARCH("BitMark",F156)),IF(ABS(E155-zerospace)&lt;(Tolerance*zerospace),1,0),"BitMark")))))</f>
        <v>1</v>
      </c>
    </row>
    <row r="156" spans="2:6" ht="15" customHeight="1" x14ac:dyDescent="0.25">
      <c r="B156" s="5" t="s">
        <v>173</v>
      </c>
      <c r="C156" s="3">
        <v>442</v>
      </c>
      <c r="D156" s="3">
        <v>236</v>
      </c>
      <c r="E156" s="3">
        <f t="shared" si="2"/>
        <v>472</v>
      </c>
      <c r="F156" s="3" t="str" cm="1">
        <f t="array" ref="F156">IF(ABS(E156-hdrmark)&lt;(Tolerance*hdrmark),"HdrMark",IF(ABS(E156-hdrspace)&lt;(Tolerance*hdrspace),"HdrSpace",(IF(ABS(E156-gap)&lt;(Tolerance*gap),"Gap",IF(ISNUMBER(SEARCH("BitMark",F157)),IF(ABS(E156-zerospace)&lt;(Tolerance*zerospace),1,0),"BitMark")))))</f>
        <v>BitMark</v>
      </c>
    </row>
    <row r="157" spans="2:6" x14ac:dyDescent="0.25">
      <c r="B157" s="5" t="s">
        <v>174</v>
      </c>
      <c r="C157" s="3">
        <v>420</v>
      </c>
      <c r="D157" s="3">
        <v>213</v>
      </c>
      <c r="E157" s="3">
        <f t="shared" si="2"/>
        <v>426</v>
      </c>
      <c r="F157" s="3" cm="1">
        <f t="array" ref="F157">IF(ABS(E157-hdrmark)&lt;(Tolerance*hdrmark),"HdrMark",IF(ABS(E157-hdrspace)&lt;(Tolerance*hdrspace),"HdrSpace",(IF(ABS(E157-gap)&lt;(Tolerance*gap),"Gap",IF(ISNUMBER(SEARCH("BitMark",F158)),IF(ABS(E157-zerospace)&lt;(Tolerance*zerospace),1,0),"BitMark")))))</f>
        <v>0</v>
      </c>
    </row>
    <row r="158" spans="2:6" ht="15" customHeight="1" x14ac:dyDescent="0.25">
      <c r="B158" s="5" t="s">
        <v>175</v>
      </c>
      <c r="C158" s="3">
        <v>446</v>
      </c>
      <c r="D158" s="3">
        <v>231</v>
      </c>
      <c r="E158" s="3">
        <f t="shared" si="2"/>
        <v>462</v>
      </c>
      <c r="F158" s="3" t="str" cm="1">
        <f t="array" ref="F158">IF(ABS(E158-hdrmark)&lt;(Tolerance*hdrmark),"HdrMark",IF(ABS(E158-hdrspace)&lt;(Tolerance*hdrspace),"HdrSpace",(IF(ABS(E158-gap)&lt;(Tolerance*gap),"Gap",IF(ISNUMBER(SEARCH("BitMark",F159)),IF(ABS(E158-zerospace)&lt;(Tolerance*zerospace),1,0),"BitMark")))))</f>
        <v>BitMark</v>
      </c>
    </row>
    <row r="159" spans="2:6" x14ac:dyDescent="0.25">
      <c r="B159" s="5" t="s">
        <v>176</v>
      </c>
      <c r="C159" s="3">
        <v>416</v>
      </c>
      <c r="D159" s="3">
        <v>189</v>
      </c>
      <c r="E159" s="3">
        <f t="shared" si="2"/>
        <v>378</v>
      </c>
      <c r="F159" s="3" cm="1">
        <f t="array" ref="F159">IF(ABS(E159-hdrmark)&lt;(Tolerance*hdrmark),"HdrMark",IF(ABS(E159-hdrspace)&lt;(Tolerance*hdrspace),"HdrSpace",(IF(ABS(E159-gap)&lt;(Tolerance*gap),"Gap",IF(ISNUMBER(SEARCH("BitMark",F160)),IF(ABS(E159-zerospace)&lt;(Tolerance*zerospace),1,0),"BitMark")))))</f>
        <v>0</v>
      </c>
    </row>
    <row r="160" spans="2:6" ht="15" customHeight="1" x14ac:dyDescent="0.25">
      <c r="B160" s="5" t="s">
        <v>177</v>
      </c>
      <c r="C160" s="3">
        <v>440</v>
      </c>
      <c r="D160" s="3">
        <v>236</v>
      </c>
      <c r="E160" s="3">
        <f t="shared" si="2"/>
        <v>472</v>
      </c>
      <c r="F160" s="3" t="str" cm="1">
        <f t="array" ref="F160">IF(ABS(E160-hdrmark)&lt;(Tolerance*hdrmark),"HdrMark",IF(ABS(E160-hdrspace)&lt;(Tolerance*hdrspace),"HdrSpace",(IF(ABS(E160-gap)&lt;(Tolerance*gap),"Gap",IF(ISNUMBER(SEARCH("BitMark",F161)),IF(ABS(E160-zerospace)&lt;(Tolerance*zerospace),1,0),"BitMark")))))</f>
        <v>BitMark</v>
      </c>
    </row>
    <row r="161" spans="2:6" x14ac:dyDescent="0.25">
      <c r="B161" s="5" t="s">
        <v>178</v>
      </c>
      <c r="C161" s="3">
        <v>420</v>
      </c>
      <c r="D161" s="3">
        <v>209</v>
      </c>
      <c r="E161" s="3">
        <f t="shared" si="2"/>
        <v>418</v>
      </c>
      <c r="F161" s="3" cm="1">
        <f t="array" ref="F161">IF(ABS(E161-hdrmark)&lt;(Tolerance*hdrmark),"HdrMark",IF(ABS(E161-hdrspace)&lt;(Tolerance*hdrspace),"HdrSpace",(IF(ABS(E161-gap)&lt;(Tolerance*gap),"Gap",IF(ISNUMBER(SEARCH("BitMark",F162)),IF(ABS(E161-zerospace)&lt;(Tolerance*zerospace),1,0),"BitMark")))))</f>
        <v>0</v>
      </c>
    </row>
    <row r="162" spans="2:6" ht="15" customHeight="1" x14ac:dyDescent="0.25">
      <c r="B162" s="5" t="s">
        <v>179</v>
      </c>
      <c r="C162" s="3">
        <v>450</v>
      </c>
      <c r="D162" s="3">
        <v>225</v>
      </c>
      <c r="E162" s="3">
        <f t="shared" si="2"/>
        <v>450</v>
      </c>
      <c r="F162" s="3" t="str" cm="1">
        <f t="array" ref="F162">IF(ABS(E162-hdrmark)&lt;(Tolerance*hdrmark),"HdrMark",IF(ABS(E162-hdrspace)&lt;(Tolerance*hdrspace),"HdrSpace",(IF(ABS(E162-gap)&lt;(Tolerance*gap),"Gap",IF(ISNUMBER(SEARCH("BitMark",F163)),IF(ABS(E162-zerospace)&lt;(Tolerance*zerospace),1,0),"BitMark")))))</f>
        <v>BitMark</v>
      </c>
    </row>
    <row r="163" spans="2:6" x14ac:dyDescent="0.25">
      <c r="B163" s="5" t="s">
        <v>180</v>
      </c>
      <c r="C163" s="3">
        <v>412</v>
      </c>
      <c r="D163" s="3">
        <v>194</v>
      </c>
      <c r="E163" s="3">
        <f t="shared" si="2"/>
        <v>388</v>
      </c>
      <c r="F163" s="3" cm="1">
        <f t="array" ref="F163">IF(ABS(E163-hdrmark)&lt;(Tolerance*hdrmark),"HdrMark",IF(ABS(E163-hdrspace)&lt;(Tolerance*hdrspace),"HdrSpace",(IF(ABS(E163-gap)&lt;(Tolerance*gap),"Gap",IF(ISNUMBER(SEARCH("BitMark",F164)),IF(ABS(E163-zerospace)&lt;(Tolerance*zerospace),1,0),"BitMark")))))</f>
        <v>0</v>
      </c>
    </row>
    <row r="164" spans="2:6" ht="15" customHeight="1" x14ac:dyDescent="0.25">
      <c r="B164" s="5" t="s">
        <v>181</v>
      </c>
      <c r="C164" s="3">
        <v>454</v>
      </c>
      <c r="D164" s="3">
        <v>235</v>
      </c>
      <c r="E164" s="3">
        <f t="shared" si="2"/>
        <v>470</v>
      </c>
      <c r="F164" s="3" t="str" cm="1">
        <f t="array" ref="F164">IF(ABS(E164-hdrmark)&lt;(Tolerance*hdrmark),"HdrMark",IF(ABS(E164-hdrspace)&lt;(Tolerance*hdrspace),"HdrSpace",(IF(ABS(E164-gap)&lt;(Tolerance*gap),"Gap",IF(ISNUMBER(SEARCH("BitMark",F165)),IF(ABS(E164-zerospace)&lt;(Tolerance*zerospace),1,0),"BitMark")))))</f>
        <v>BitMark</v>
      </c>
    </row>
    <row r="165" spans="2:6" x14ac:dyDescent="0.25">
      <c r="B165" s="5" t="s">
        <v>182</v>
      </c>
      <c r="C165" s="3">
        <v>1272</v>
      </c>
      <c r="D165" s="3">
        <v>631</v>
      </c>
      <c r="E165" s="3">
        <f t="shared" si="2"/>
        <v>1262</v>
      </c>
      <c r="F165" s="3" cm="1">
        <f t="array" ref="F165">IF(ABS(E165-hdrmark)&lt;(Tolerance*hdrmark),"HdrMark",IF(ABS(E165-hdrspace)&lt;(Tolerance*hdrspace),"HdrSpace",(IF(ABS(E165-gap)&lt;(Tolerance*gap),"Gap",IF(ISNUMBER(SEARCH("BitMark",F166)),IF(ABS(E165-zerospace)&lt;(Tolerance*zerospace),1,0),"BitMark")))))</f>
        <v>1</v>
      </c>
    </row>
    <row r="166" spans="2:6" ht="15" customHeight="1" x14ac:dyDescent="0.25">
      <c r="B166" s="5" t="s">
        <v>183</v>
      </c>
      <c r="C166" s="3">
        <v>446</v>
      </c>
      <c r="D166" s="3">
        <v>233</v>
      </c>
      <c r="E166" s="3">
        <f t="shared" si="2"/>
        <v>466</v>
      </c>
      <c r="F166" s="3" t="str" cm="1">
        <f t="array" ref="F166">IF(ABS(E166-hdrmark)&lt;(Tolerance*hdrmark),"HdrMark",IF(ABS(E166-hdrspace)&lt;(Tolerance*hdrspace),"HdrSpace",(IF(ABS(E166-gap)&lt;(Tolerance*gap),"Gap",IF(ISNUMBER(SEARCH("BitMark",F167)),IF(ABS(E166-zerospace)&lt;(Tolerance*zerospace),1,0),"BitMark")))))</f>
        <v>BitMark</v>
      </c>
    </row>
    <row r="167" spans="2:6" ht="15" customHeight="1" x14ac:dyDescent="0.25">
      <c r="B167" s="5" t="s">
        <v>184</v>
      </c>
      <c r="C167" s="3">
        <v>420</v>
      </c>
      <c r="D167" s="3">
        <v>202</v>
      </c>
      <c r="E167" s="3">
        <f t="shared" si="2"/>
        <v>404</v>
      </c>
      <c r="F167" s="3" cm="1">
        <f t="array" ref="F167">IF(ABS(E167-hdrmark)&lt;(Tolerance*hdrmark),"HdrMark",IF(ABS(E167-hdrspace)&lt;(Tolerance*hdrspace),"HdrSpace",(IF(ABS(E167-gap)&lt;(Tolerance*gap),"Gap",IF(ISNUMBER(SEARCH("BitMark",F168)),IF(ABS(E167-zerospace)&lt;(Tolerance*zerospace),1,0),"BitMark")))))</f>
        <v>0</v>
      </c>
    </row>
    <row r="168" spans="2:6" ht="15" customHeight="1" x14ac:dyDescent="0.25">
      <c r="B168" s="5" t="s">
        <v>185</v>
      </c>
      <c r="C168" s="3">
        <v>436</v>
      </c>
      <c r="D168" s="3">
        <v>238</v>
      </c>
      <c r="E168" s="3">
        <f t="shared" si="2"/>
        <v>476</v>
      </c>
      <c r="F168" s="3" t="str" cm="1">
        <f t="array" ref="F168">IF(ABS(E168-hdrmark)&lt;(Tolerance*hdrmark),"HdrMark",IF(ABS(E168-hdrspace)&lt;(Tolerance*hdrspace),"HdrSpace",(IF(ABS(E168-gap)&lt;(Tolerance*gap),"Gap",IF(ISNUMBER(SEARCH("BitMark",F169)),IF(ABS(E168-zerospace)&lt;(Tolerance*zerospace),1,0),"BitMark")))))</f>
        <v>BitMark</v>
      </c>
    </row>
    <row r="169" spans="2:6" x14ac:dyDescent="0.25">
      <c r="B169" s="5" t="s">
        <v>186</v>
      </c>
      <c r="C169" s="3">
        <v>1284</v>
      </c>
      <c r="D169" s="3">
        <v>626</v>
      </c>
      <c r="E169" s="3">
        <f t="shared" si="2"/>
        <v>1252</v>
      </c>
      <c r="F169" s="3" cm="1">
        <f t="array" ref="F169">IF(ABS(E169-hdrmark)&lt;(Tolerance*hdrmark),"HdrMark",IF(ABS(E169-hdrspace)&lt;(Tolerance*hdrspace),"HdrSpace",(IF(ABS(E169-gap)&lt;(Tolerance*gap),"Gap",IF(ISNUMBER(SEARCH("BitMark",F170)),IF(ABS(E169-zerospace)&lt;(Tolerance*zerospace),1,0),"BitMark")))))</f>
        <v>1</v>
      </c>
    </row>
    <row r="170" spans="2:6" ht="15" customHeight="1" x14ac:dyDescent="0.25">
      <c r="B170" s="5" t="s">
        <v>187</v>
      </c>
      <c r="C170" s="3">
        <v>440</v>
      </c>
      <c r="D170" s="3">
        <v>238</v>
      </c>
      <c r="E170" s="3">
        <f t="shared" si="2"/>
        <v>476</v>
      </c>
      <c r="F170" s="3" t="str" cm="1">
        <f t="array" ref="F170">IF(ABS(E170-hdrmark)&lt;(Tolerance*hdrmark),"HdrMark",IF(ABS(E170-hdrspace)&lt;(Tolerance*hdrspace),"HdrSpace",(IF(ABS(E170-gap)&lt;(Tolerance*gap),"Gap",IF(ISNUMBER(SEARCH("BitMark",F171)),IF(ABS(E170-zerospace)&lt;(Tolerance*zerospace),1,0),"BitMark")))))</f>
        <v>BitMark</v>
      </c>
    </row>
    <row r="171" spans="2:6" x14ac:dyDescent="0.25">
      <c r="B171" s="5" t="s">
        <v>188</v>
      </c>
      <c r="C171" s="3">
        <v>1314</v>
      </c>
      <c r="D171" s="3">
        <v>641</v>
      </c>
      <c r="E171" s="3">
        <f t="shared" si="2"/>
        <v>1282</v>
      </c>
      <c r="F171" s="3" cm="1">
        <f t="array" ref="F171">IF(ABS(E171-hdrmark)&lt;(Tolerance*hdrmark),"HdrMark",IF(ABS(E171-hdrspace)&lt;(Tolerance*hdrspace),"HdrSpace",(IF(ABS(E171-gap)&lt;(Tolerance*gap),"Gap",IF(ISNUMBER(SEARCH("BitMark",F172)),IF(ABS(E171-zerospace)&lt;(Tolerance*zerospace),1,0),"BitMark")))))</f>
        <v>1</v>
      </c>
    </row>
    <row r="172" spans="2:6" ht="15" customHeight="1" x14ac:dyDescent="0.25">
      <c r="B172" s="5" t="s">
        <v>189</v>
      </c>
      <c r="C172" s="3">
        <v>422</v>
      </c>
      <c r="D172" s="3">
        <v>223</v>
      </c>
      <c r="E172" s="3">
        <f t="shared" si="2"/>
        <v>446</v>
      </c>
      <c r="F172" s="3" t="str" cm="1">
        <f t="array" ref="F172">IF(ABS(E172-hdrmark)&lt;(Tolerance*hdrmark),"HdrMark",IF(ABS(E172-hdrspace)&lt;(Tolerance*hdrspace),"HdrSpace",(IF(ABS(E172-gap)&lt;(Tolerance*gap),"Gap",IF(ISNUMBER(SEARCH("BitMark",F173)),IF(ABS(E172-zerospace)&lt;(Tolerance*zerospace),1,0),"BitMark")))))</f>
        <v>BitMark</v>
      </c>
    </row>
    <row r="173" spans="2:6" x14ac:dyDescent="0.25">
      <c r="B173" s="5" t="s">
        <v>190</v>
      </c>
      <c r="C173" s="3">
        <v>410</v>
      </c>
      <c r="D173" s="3">
        <v>198</v>
      </c>
      <c r="E173" s="3">
        <f t="shared" si="2"/>
        <v>396</v>
      </c>
      <c r="F173" s="3" cm="1">
        <f t="array" ref="F173">IF(ABS(E173-hdrmark)&lt;(Tolerance*hdrmark),"HdrMark",IF(ABS(E173-hdrspace)&lt;(Tolerance*hdrspace),"HdrSpace",(IF(ABS(E173-gap)&lt;(Tolerance*gap),"Gap",IF(ISNUMBER(SEARCH("BitMark",F174)),IF(ABS(E173-zerospace)&lt;(Tolerance*zerospace),1,0),"BitMark")))))</f>
        <v>0</v>
      </c>
    </row>
    <row r="174" spans="2:6" ht="15" customHeight="1" x14ac:dyDescent="0.25">
      <c r="B174" s="5" t="s">
        <v>191</v>
      </c>
      <c r="C174" s="3">
        <v>442</v>
      </c>
      <c r="D174" s="3">
        <v>236</v>
      </c>
      <c r="E174" s="3">
        <f t="shared" si="2"/>
        <v>472</v>
      </c>
      <c r="F174" s="3" t="str" cm="1">
        <f t="array" ref="F174">IF(ABS(E174-hdrmark)&lt;(Tolerance*hdrmark),"HdrMark",IF(ABS(E174-hdrspace)&lt;(Tolerance*hdrspace),"HdrSpace",(IF(ABS(E174-gap)&lt;(Tolerance*gap),"Gap",IF(ISNUMBER(SEARCH("BitMark",F175)),IF(ABS(E174-zerospace)&lt;(Tolerance*zerospace),1,0),"BitMark")))))</f>
        <v>BitMark</v>
      </c>
    </row>
    <row r="175" spans="2:6" x14ac:dyDescent="0.25">
      <c r="B175" s="5" t="s">
        <v>192</v>
      </c>
      <c r="C175" s="3">
        <v>1282</v>
      </c>
      <c r="D175" s="3">
        <v>626</v>
      </c>
      <c r="E175" s="3">
        <f t="shared" si="2"/>
        <v>1252</v>
      </c>
      <c r="F175" s="3" cm="1">
        <f t="array" ref="F175">IF(ABS(E175-hdrmark)&lt;(Tolerance*hdrmark),"HdrMark",IF(ABS(E175-hdrspace)&lt;(Tolerance*hdrspace),"HdrSpace",(IF(ABS(E175-gap)&lt;(Tolerance*gap),"Gap",IF(ISNUMBER(SEARCH("BitMark",F176)),IF(ABS(E175-zerospace)&lt;(Tolerance*zerospace),1,0),"BitMark")))))</f>
        <v>1</v>
      </c>
    </row>
    <row r="176" spans="2:6" ht="15" customHeight="1" x14ac:dyDescent="0.25">
      <c r="B176" s="5" t="s">
        <v>193</v>
      </c>
      <c r="C176" s="3">
        <v>440</v>
      </c>
      <c r="D176" s="3">
        <v>239</v>
      </c>
      <c r="E176" s="3">
        <f t="shared" si="2"/>
        <v>478</v>
      </c>
      <c r="F176" s="3" t="str" cm="1">
        <f t="array" ref="F176">IF(ABS(E176-hdrmark)&lt;(Tolerance*hdrmark),"HdrMark",IF(ABS(E176-hdrspace)&lt;(Tolerance*hdrspace),"HdrSpace",(IF(ABS(E176-gap)&lt;(Tolerance*gap),"Gap",IF(ISNUMBER(SEARCH("BitMark",F177)),IF(ABS(E176-zerospace)&lt;(Tolerance*zerospace),1,0),"BitMark")))))</f>
        <v>BitMark</v>
      </c>
    </row>
    <row r="177" spans="2:6" x14ac:dyDescent="0.25">
      <c r="B177" s="5" t="s">
        <v>194</v>
      </c>
      <c r="C177" s="3">
        <v>1284</v>
      </c>
      <c r="D177" s="3">
        <v>628</v>
      </c>
      <c r="E177" s="3">
        <f t="shared" si="2"/>
        <v>1256</v>
      </c>
      <c r="F177" s="3" cm="1">
        <f t="array" ref="F177">IF(ABS(E177-hdrmark)&lt;(Tolerance*hdrmark),"HdrMark",IF(ABS(E177-hdrspace)&lt;(Tolerance*hdrspace),"HdrSpace",(IF(ABS(E177-gap)&lt;(Tolerance*gap),"Gap",IF(ISNUMBER(SEARCH("BitMark",F178)),IF(ABS(E177-zerospace)&lt;(Tolerance*zerospace),1,0),"BitMark")))))</f>
        <v>1</v>
      </c>
    </row>
    <row r="178" spans="2:6" ht="15" customHeight="1" x14ac:dyDescent="0.25">
      <c r="B178" s="5" t="s">
        <v>195</v>
      </c>
      <c r="C178" s="3">
        <v>450</v>
      </c>
      <c r="D178" s="3">
        <v>237</v>
      </c>
      <c r="E178" s="3">
        <f t="shared" si="2"/>
        <v>474</v>
      </c>
      <c r="F178" s="3" t="str" cm="1">
        <f t="array" ref="F178">IF(ABS(E178-hdrmark)&lt;(Tolerance*hdrmark),"HdrMark",IF(ABS(E178-hdrspace)&lt;(Tolerance*hdrspace),"HdrSpace",(IF(ABS(E178-gap)&lt;(Tolerance*gap),"Gap",IF(ISNUMBER(SEARCH("BitMark",F179)),IF(ABS(E178-zerospace)&lt;(Tolerance*zerospace),1,0),"BitMark")))))</f>
        <v>BitMark</v>
      </c>
    </row>
    <row r="179" spans="2:6" x14ac:dyDescent="0.25">
      <c r="B179" s="5" t="s">
        <v>196</v>
      </c>
      <c r="C179" s="3">
        <v>1276</v>
      </c>
      <c r="D179" s="3">
        <v>629</v>
      </c>
      <c r="E179" s="3">
        <f t="shared" si="2"/>
        <v>1258</v>
      </c>
      <c r="F179" s="3" cm="1">
        <f t="array" ref="F179">IF(ABS(E179-hdrmark)&lt;(Tolerance*hdrmark),"HdrMark",IF(ABS(E179-hdrspace)&lt;(Tolerance*hdrspace),"HdrSpace",(IF(ABS(E179-gap)&lt;(Tolerance*gap),"Gap",IF(ISNUMBER(SEARCH("BitMark",F180)),IF(ABS(E179-zerospace)&lt;(Tolerance*zerospace),1,0),"BitMark")))))</f>
        <v>1</v>
      </c>
    </row>
    <row r="180" spans="2:6" ht="15" customHeight="1" x14ac:dyDescent="0.25">
      <c r="B180" s="5" t="s">
        <v>197</v>
      </c>
      <c r="C180" s="3">
        <v>448</v>
      </c>
      <c r="D180" s="3">
        <v>236</v>
      </c>
      <c r="E180" s="3">
        <f t="shared" si="2"/>
        <v>472</v>
      </c>
      <c r="F180" s="3" t="str" cm="1">
        <f t="array" ref="F180">IF(ABS(E180-hdrmark)&lt;(Tolerance*hdrmark),"HdrMark",IF(ABS(E180-hdrspace)&lt;(Tolerance*hdrspace),"HdrSpace",(IF(ABS(E180-gap)&lt;(Tolerance*gap),"Gap",IF(ISNUMBER(SEARCH("BitMark",F181)),IF(ABS(E180-zerospace)&lt;(Tolerance*zerospace),1,0),"BitMark")))))</f>
        <v>BitMark</v>
      </c>
    </row>
    <row r="181" spans="2:6" x14ac:dyDescent="0.25">
      <c r="B181" s="5" t="s">
        <v>198</v>
      </c>
      <c r="C181" s="3">
        <v>1276</v>
      </c>
      <c r="D181" s="3">
        <v>629</v>
      </c>
      <c r="E181" s="3">
        <f t="shared" si="2"/>
        <v>1258</v>
      </c>
      <c r="F181" s="3" cm="1">
        <f t="array" ref="F181">IF(ABS(E181-hdrmark)&lt;(Tolerance*hdrmark),"HdrMark",IF(ABS(E181-hdrspace)&lt;(Tolerance*hdrspace),"HdrSpace",(IF(ABS(E181-gap)&lt;(Tolerance*gap),"Gap",IF(ISNUMBER(SEARCH("BitMark",F182)),IF(ABS(E181-zerospace)&lt;(Tolerance*zerospace),1,0),"BitMark")))))</f>
        <v>1</v>
      </c>
    </row>
    <row r="182" spans="2:6" ht="15" customHeight="1" x14ac:dyDescent="0.25">
      <c r="B182" s="5" t="s">
        <v>199</v>
      </c>
      <c r="C182" s="3">
        <v>446</v>
      </c>
      <c r="D182" s="3">
        <v>236</v>
      </c>
      <c r="E182" s="3">
        <f t="shared" si="2"/>
        <v>472</v>
      </c>
      <c r="F182" s="3" t="str" cm="1">
        <f t="array" ref="F182">IF(ABS(E182-hdrmark)&lt;(Tolerance*hdrmark),"HdrMark",IF(ABS(E182-hdrspace)&lt;(Tolerance*hdrspace),"HdrSpace",(IF(ABS(E182-gap)&lt;(Tolerance*gap),"Gap",IF(ISNUMBER(SEARCH("BitMark",F183)),IF(ABS(E182-zerospace)&lt;(Tolerance*zerospace),1,0),"BitMark")))))</f>
        <v>BitMark</v>
      </c>
    </row>
    <row r="183" spans="2:6" x14ac:dyDescent="0.25">
      <c r="B183" s="5" t="s">
        <v>200</v>
      </c>
      <c r="C183" s="3">
        <v>1280</v>
      </c>
      <c r="D183" s="3">
        <v>629</v>
      </c>
      <c r="E183" s="3">
        <f t="shared" si="2"/>
        <v>1258</v>
      </c>
      <c r="F183" s="3" cm="1">
        <f t="array" ref="F183">IF(ABS(E183-hdrmark)&lt;(Tolerance*hdrmark),"HdrMark",IF(ABS(E183-hdrspace)&lt;(Tolerance*hdrspace),"HdrSpace",(IF(ABS(E183-gap)&lt;(Tolerance*gap),"Gap",IF(ISNUMBER(SEARCH("BitMark",F184)),IF(ABS(E183-zerospace)&lt;(Tolerance*zerospace),1,0),"BitMark")))))</f>
        <v>1</v>
      </c>
    </row>
    <row r="184" spans="2:6" ht="15" customHeight="1" x14ac:dyDescent="0.25">
      <c r="B184" s="5" t="s">
        <v>201</v>
      </c>
      <c r="C184" s="3">
        <v>444</v>
      </c>
      <c r="D184" s="3">
        <v>235</v>
      </c>
      <c r="E184" s="3">
        <f t="shared" si="2"/>
        <v>470</v>
      </c>
      <c r="F184" s="3" t="str" cm="1">
        <f t="array" ref="F184">IF(ABS(E184-hdrmark)&lt;(Tolerance*hdrmark),"HdrMark",IF(ABS(E184-hdrspace)&lt;(Tolerance*hdrspace),"HdrSpace",(IF(ABS(E184-gap)&lt;(Tolerance*gap),"Gap",IF(ISNUMBER(SEARCH("BitMark",F185)),IF(ABS(E184-zerospace)&lt;(Tolerance*zerospace),1,0),"BitMark")))))</f>
        <v>BitMark</v>
      </c>
    </row>
    <row r="185" spans="2:6" x14ac:dyDescent="0.25">
      <c r="B185" s="5" t="s">
        <v>202</v>
      </c>
      <c r="C185" s="3">
        <v>418</v>
      </c>
      <c r="D185" s="3">
        <v>211</v>
      </c>
      <c r="E185" s="3">
        <f t="shared" si="2"/>
        <v>422</v>
      </c>
      <c r="F185" s="3" cm="1">
        <f t="array" ref="F185">IF(ABS(E185-hdrmark)&lt;(Tolerance*hdrmark),"HdrMark",IF(ABS(E185-hdrspace)&lt;(Tolerance*hdrspace),"HdrSpace",(IF(ABS(E185-gap)&lt;(Tolerance*gap),"Gap",IF(ISNUMBER(SEARCH("BitMark",F186)),IF(ABS(E185-zerospace)&lt;(Tolerance*zerospace),1,0),"BitMark")))))</f>
        <v>0</v>
      </c>
    </row>
    <row r="186" spans="2:6" ht="15" customHeight="1" x14ac:dyDescent="0.25">
      <c r="B186" s="5" t="s">
        <v>203</v>
      </c>
      <c r="C186" s="3">
        <v>448</v>
      </c>
      <c r="D186" s="3">
        <v>224</v>
      </c>
      <c r="E186" s="3">
        <f t="shared" si="2"/>
        <v>448</v>
      </c>
      <c r="F186" s="3" t="str" cm="1">
        <f t="array" ref="F186">IF(ABS(E186-hdrmark)&lt;(Tolerance*hdrmark),"HdrMark",IF(ABS(E186-hdrspace)&lt;(Tolerance*hdrspace),"HdrSpace",(IF(ABS(E186-gap)&lt;(Tolerance*gap),"Gap",IF(ISNUMBER(SEARCH("BitMark",F187)),IF(ABS(E186-zerospace)&lt;(Tolerance*zerospace),1,0),"BitMark")))))</f>
        <v>BitMark</v>
      </c>
    </row>
    <row r="187" spans="2:6" x14ac:dyDescent="0.25">
      <c r="B187" s="5" t="s">
        <v>204</v>
      </c>
      <c r="C187" s="3">
        <v>414</v>
      </c>
      <c r="D187" s="3">
        <v>196</v>
      </c>
      <c r="E187" s="3">
        <f t="shared" si="2"/>
        <v>392</v>
      </c>
      <c r="F187" s="3" cm="1">
        <f t="array" ref="F187">IF(ABS(E187-hdrmark)&lt;(Tolerance*hdrmark),"HdrMark",IF(ABS(E187-hdrspace)&lt;(Tolerance*hdrspace),"HdrSpace",(IF(ABS(E187-gap)&lt;(Tolerance*gap),"Gap",IF(ISNUMBER(SEARCH("BitMark",F188)),IF(ABS(E187-zerospace)&lt;(Tolerance*zerospace),1,0),"BitMark")))))</f>
        <v>0</v>
      </c>
    </row>
    <row r="188" spans="2:6" ht="15" customHeight="1" x14ac:dyDescent="0.25">
      <c r="B188" s="5" t="s">
        <v>205</v>
      </c>
      <c r="C188" s="3">
        <v>442</v>
      </c>
      <c r="D188" s="3">
        <v>239</v>
      </c>
      <c r="E188" s="3">
        <f t="shared" si="2"/>
        <v>478</v>
      </c>
      <c r="F188" s="3" t="str" cm="1">
        <f t="array" ref="F188">IF(ABS(E188-hdrmark)&lt;(Tolerance*hdrmark),"HdrMark",IF(ABS(E188-hdrspace)&lt;(Tolerance*hdrspace),"HdrSpace",(IF(ABS(E188-gap)&lt;(Tolerance*gap),"Gap",IF(ISNUMBER(SEARCH("BitMark",F189)),IF(ABS(E188-zerospace)&lt;(Tolerance*zerospace),1,0),"BitMark")))))</f>
        <v>BitMark</v>
      </c>
    </row>
    <row r="189" spans="2:6" x14ac:dyDescent="0.25">
      <c r="B189" s="5" t="s">
        <v>206</v>
      </c>
      <c r="C189" s="3">
        <v>1282</v>
      </c>
      <c r="D189" s="3">
        <v>626</v>
      </c>
      <c r="E189" s="3">
        <f t="shared" si="2"/>
        <v>1252</v>
      </c>
      <c r="F189" s="3" cm="1">
        <f t="array" ref="F189">IF(ABS(E189-hdrmark)&lt;(Tolerance*hdrmark),"HdrMark",IF(ABS(E189-hdrspace)&lt;(Tolerance*hdrspace),"HdrSpace",(IF(ABS(E189-gap)&lt;(Tolerance*gap),"Gap",IF(ISNUMBER(SEARCH("BitMark",F190)),IF(ABS(E189-zerospace)&lt;(Tolerance*zerospace),1,0),"BitMark")))))</f>
        <v>1</v>
      </c>
    </row>
    <row r="190" spans="2:6" ht="15" customHeight="1" x14ac:dyDescent="0.25">
      <c r="B190" s="5" t="s">
        <v>207</v>
      </c>
      <c r="C190" s="3">
        <v>440</v>
      </c>
      <c r="D190" s="3">
        <v>238</v>
      </c>
      <c r="E190" s="3">
        <f t="shared" si="2"/>
        <v>476</v>
      </c>
      <c r="F190" s="3" t="str" cm="1">
        <f t="array" ref="F190">IF(ABS(E190-hdrmark)&lt;(Tolerance*hdrmark),"HdrMark",IF(ABS(E190-hdrspace)&lt;(Tolerance*hdrspace),"HdrSpace",(IF(ABS(E190-gap)&lt;(Tolerance*gap),"Gap",IF(ISNUMBER(SEARCH("BitMark",F191)),IF(ABS(E190-zerospace)&lt;(Tolerance*zerospace),1,0),"BitMark")))))</f>
        <v>BitMark</v>
      </c>
    </row>
    <row r="191" spans="2:6" ht="15" customHeight="1" x14ac:dyDescent="0.25">
      <c r="B191" s="5" t="s">
        <v>208</v>
      </c>
      <c r="C191" s="3">
        <v>422</v>
      </c>
      <c r="D191" s="3">
        <v>195</v>
      </c>
      <c r="E191" s="3">
        <f t="shared" si="2"/>
        <v>390</v>
      </c>
      <c r="F191" s="3" cm="1">
        <f t="array" ref="F191">IF(ABS(E191-hdrmark)&lt;(Tolerance*hdrmark),"HdrMark",IF(ABS(E191-hdrspace)&lt;(Tolerance*hdrspace),"HdrSpace",(IF(ABS(E191-gap)&lt;(Tolerance*gap),"Gap",IF(ISNUMBER(SEARCH("BitMark",F192)),IF(ABS(E191-zerospace)&lt;(Tolerance*zerospace),1,0),"BitMark")))))</f>
        <v>0</v>
      </c>
    </row>
    <row r="192" spans="2:6" ht="15" customHeight="1" x14ac:dyDescent="0.25">
      <c r="B192" s="5" t="s">
        <v>209</v>
      </c>
      <c r="C192" s="3">
        <v>446</v>
      </c>
      <c r="D192" s="3">
        <v>235</v>
      </c>
      <c r="E192" s="3">
        <f t="shared" si="2"/>
        <v>470</v>
      </c>
      <c r="F192" s="3" t="str" cm="1">
        <f t="array" ref="F192">IF(ABS(E192-hdrmark)&lt;(Tolerance*hdrmark),"HdrMark",IF(ABS(E192-hdrspace)&lt;(Tolerance*hdrspace),"HdrSpace",(IF(ABS(E192-gap)&lt;(Tolerance*gap),"Gap",IF(ISNUMBER(SEARCH("BitMark",F193)),IF(ABS(E192-zerospace)&lt;(Tolerance*zerospace),1,0),"BitMark")))))</f>
        <v>BitMark</v>
      </c>
    </row>
    <row r="193" spans="2:6" x14ac:dyDescent="0.25">
      <c r="B193" s="5" t="s">
        <v>210</v>
      </c>
      <c r="C193" s="3">
        <v>416</v>
      </c>
      <c r="D193" s="3">
        <v>198</v>
      </c>
      <c r="E193" s="3">
        <f t="shared" si="2"/>
        <v>396</v>
      </c>
      <c r="F193" s="3" cm="1">
        <f t="array" ref="F193">IF(ABS(E193-hdrmark)&lt;(Tolerance*hdrmark),"HdrMark",IF(ABS(E193-hdrspace)&lt;(Tolerance*hdrspace),"HdrSpace",(IF(ABS(E193-gap)&lt;(Tolerance*gap),"Gap",IF(ISNUMBER(SEARCH("BitMark",F194)),IF(ABS(E193-zerospace)&lt;(Tolerance*zerospace),1,0),"BitMark")))))</f>
        <v>0</v>
      </c>
    </row>
    <row r="194" spans="2:6" ht="15" customHeight="1" x14ac:dyDescent="0.25">
      <c r="B194" s="5" t="s">
        <v>211</v>
      </c>
      <c r="C194" s="3">
        <v>438</v>
      </c>
      <c r="D194" s="3">
        <v>226</v>
      </c>
      <c r="E194" s="3">
        <f t="shared" si="2"/>
        <v>452</v>
      </c>
      <c r="F194" s="3" t="str" cm="1">
        <f t="array" ref="F194">IF(ABS(E194-hdrmark)&lt;(Tolerance*hdrmark),"HdrMark",IF(ABS(E194-hdrspace)&lt;(Tolerance*hdrspace),"HdrSpace",(IF(ABS(E194-gap)&lt;(Tolerance*gap),"Gap",IF(ISNUMBER(SEARCH("BitMark",F195)),IF(ABS(E194-zerospace)&lt;(Tolerance*zerospace),1,0),"BitMark")))))</f>
        <v>BitMark</v>
      </c>
    </row>
    <row r="195" spans="2:6" x14ac:dyDescent="0.25">
      <c r="B195" s="5" t="s">
        <v>212</v>
      </c>
      <c r="C195" s="3">
        <v>424</v>
      </c>
      <c r="D195" s="3">
        <v>206</v>
      </c>
      <c r="E195" s="3">
        <f t="shared" si="2"/>
        <v>412</v>
      </c>
      <c r="F195" s="3" cm="1">
        <f t="array" ref="F195">IF(ABS(E195-hdrmark)&lt;(Tolerance*hdrmark),"HdrMark",IF(ABS(E195-hdrspace)&lt;(Tolerance*hdrspace),"HdrSpace",(IF(ABS(E195-gap)&lt;(Tolerance*gap),"Gap",IF(ISNUMBER(SEARCH("BitMark",F196)),IF(ABS(E195-zerospace)&lt;(Tolerance*zerospace),1,0),"BitMark")))))</f>
        <v>0</v>
      </c>
    </row>
    <row r="196" spans="2:6" ht="15" customHeight="1" x14ac:dyDescent="0.25">
      <c r="B196" s="5" t="s">
        <v>213</v>
      </c>
      <c r="C196" s="3">
        <v>446</v>
      </c>
      <c r="D196" s="3">
        <v>234</v>
      </c>
      <c r="E196" s="3">
        <f t="shared" si="2"/>
        <v>468</v>
      </c>
      <c r="F196" s="3" t="str" cm="1">
        <f t="array" ref="F196">IF(ABS(E196-hdrmark)&lt;(Tolerance*hdrmark),"HdrMark",IF(ABS(E196-hdrspace)&lt;(Tolerance*hdrspace),"HdrSpace",(IF(ABS(E196-gap)&lt;(Tolerance*gap),"Gap",IF(ISNUMBER(SEARCH("BitMark",F197)),IF(ABS(E196-zerospace)&lt;(Tolerance*zerospace),1,0),"BitMark")))))</f>
        <v>BitMark</v>
      </c>
    </row>
    <row r="197" spans="2:6" x14ac:dyDescent="0.25">
      <c r="B197" s="5" t="s">
        <v>214</v>
      </c>
      <c r="C197" s="3">
        <v>414</v>
      </c>
      <c r="D197" s="3">
        <v>198</v>
      </c>
      <c r="E197" s="3">
        <f t="shared" si="2"/>
        <v>396</v>
      </c>
      <c r="F197" s="3" cm="1">
        <f t="array" ref="F197">IF(ABS(E197-hdrmark)&lt;(Tolerance*hdrmark),"HdrMark",IF(ABS(E197-hdrspace)&lt;(Tolerance*hdrspace),"HdrSpace",(IF(ABS(E197-gap)&lt;(Tolerance*gap),"Gap",IF(ISNUMBER(SEARCH("BitMark",F198)),IF(ABS(E197-zerospace)&lt;(Tolerance*zerospace),1,0),"BitMark")))))</f>
        <v>0</v>
      </c>
    </row>
    <row r="198" spans="2:6" ht="15" customHeight="1" x14ac:dyDescent="0.25">
      <c r="B198" s="5" t="s">
        <v>215</v>
      </c>
      <c r="C198" s="3">
        <v>448</v>
      </c>
      <c r="D198" s="3">
        <v>237</v>
      </c>
      <c r="E198" s="3">
        <f t="shared" si="2"/>
        <v>474</v>
      </c>
      <c r="F198" s="3" t="str" cm="1">
        <f t="array" ref="F198">IF(ABS(E198-hdrmark)&lt;(Tolerance*hdrmark),"HdrMark",IF(ABS(E198-hdrspace)&lt;(Tolerance*hdrspace),"HdrSpace",(IF(ABS(E198-gap)&lt;(Tolerance*gap),"Gap",IF(ISNUMBER(SEARCH("BitMark",F199)),IF(ABS(E198-zerospace)&lt;(Tolerance*zerospace),1,0),"BitMark")))))</f>
        <v>BitMark</v>
      </c>
    </row>
    <row r="199" spans="2:6" x14ac:dyDescent="0.25">
      <c r="B199" s="5" t="s">
        <v>216</v>
      </c>
      <c r="C199" s="3">
        <v>414</v>
      </c>
      <c r="D199" s="3">
        <v>195</v>
      </c>
      <c r="E199" s="3">
        <f t="shared" si="2"/>
        <v>390</v>
      </c>
      <c r="F199" s="3" cm="1">
        <f t="array" ref="F199">IF(ABS(E199-hdrmark)&lt;(Tolerance*hdrmark),"HdrMark",IF(ABS(E199-hdrspace)&lt;(Tolerance*hdrspace),"HdrSpace",(IF(ABS(E199-gap)&lt;(Tolerance*gap),"Gap",IF(ISNUMBER(SEARCH("BitMark",F200)),IF(ABS(E199-zerospace)&lt;(Tolerance*zerospace),1,0),"BitMark")))))</f>
        <v>0</v>
      </c>
    </row>
    <row r="200" spans="2:6" ht="15" customHeight="1" x14ac:dyDescent="0.25">
      <c r="B200" s="5" t="s">
        <v>217</v>
      </c>
      <c r="C200" s="3">
        <v>442</v>
      </c>
      <c r="D200" s="3">
        <v>239</v>
      </c>
      <c r="E200" s="3">
        <f t="shared" si="2"/>
        <v>478</v>
      </c>
      <c r="F200" s="3" t="str" cm="1">
        <f t="array" ref="F200">IF(ABS(E200-hdrmark)&lt;(Tolerance*hdrmark),"HdrMark",IF(ABS(E200-hdrspace)&lt;(Tolerance*hdrspace),"HdrSpace",(IF(ABS(E200-gap)&lt;(Tolerance*gap),"Gap",IF(ISNUMBER(SEARCH("BitMark",F201)),IF(ABS(E200-zerospace)&lt;(Tolerance*zerospace),1,0),"BitMark")))))</f>
        <v>BitMark</v>
      </c>
    </row>
    <row r="201" spans="2:6" x14ac:dyDescent="0.25">
      <c r="B201" s="5" t="s">
        <v>218</v>
      </c>
      <c r="C201" s="3">
        <v>420</v>
      </c>
      <c r="D201" s="3">
        <v>195</v>
      </c>
      <c r="E201" s="3">
        <f t="shared" si="2"/>
        <v>390</v>
      </c>
      <c r="F201" s="3" cm="1">
        <f t="array" ref="F201">IF(ABS(E201-hdrmark)&lt;(Tolerance*hdrmark),"HdrMark",IF(ABS(E201-hdrspace)&lt;(Tolerance*hdrspace),"HdrSpace",(IF(ABS(E201-gap)&lt;(Tolerance*gap),"Gap",IF(ISNUMBER(SEARCH("BitMark",F202)),IF(ABS(E201-zerospace)&lt;(Tolerance*zerospace),1,0),"BitMark")))))</f>
        <v>0</v>
      </c>
    </row>
    <row r="202" spans="2:6" ht="15" customHeight="1" x14ac:dyDescent="0.25">
      <c r="B202" s="5" t="s">
        <v>219</v>
      </c>
      <c r="C202" s="3">
        <v>446</v>
      </c>
      <c r="D202" s="3">
        <v>235</v>
      </c>
      <c r="E202" s="3">
        <f t="shared" si="2"/>
        <v>470</v>
      </c>
      <c r="F202" s="3" t="str" cm="1">
        <f t="array" ref="F202">IF(ABS(E202-hdrmark)&lt;(Tolerance*hdrmark),"HdrMark",IF(ABS(E202-hdrspace)&lt;(Tolerance*hdrspace),"HdrSpace",(IF(ABS(E202-gap)&lt;(Tolerance*gap),"Gap",IF(ISNUMBER(SEARCH("BitMark",F203)),IF(ABS(E202-zerospace)&lt;(Tolerance*zerospace),1,0),"BitMark")))))</f>
        <v>BitMark</v>
      </c>
    </row>
    <row r="203" spans="2:6" x14ac:dyDescent="0.25">
      <c r="B203" s="5" t="s">
        <v>220</v>
      </c>
      <c r="C203" s="3">
        <v>414</v>
      </c>
      <c r="D203" s="3">
        <v>197</v>
      </c>
      <c r="E203" s="3">
        <f t="shared" si="2"/>
        <v>394</v>
      </c>
      <c r="F203" s="3" cm="1">
        <f t="array" ref="F203">IF(ABS(E203-hdrmark)&lt;(Tolerance*hdrmark),"HdrMark",IF(ABS(E203-hdrspace)&lt;(Tolerance*hdrspace),"HdrSpace",(IF(ABS(E203-gap)&lt;(Tolerance*gap),"Gap",IF(ISNUMBER(SEARCH("BitMark",F204)),IF(ABS(E203-zerospace)&lt;(Tolerance*zerospace),1,0),"BitMark")))))</f>
        <v>0</v>
      </c>
    </row>
    <row r="204" spans="2:6" ht="15" customHeight="1" x14ac:dyDescent="0.25">
      <c r="B204" s="5" t="s">
        <v>221</v>
      </c>
      <c r="C204" s="3">
        <v>440</v>
      </c>
      <c r="D204" s="3">
        <v>237</v>
      </c>
      <c r="E204" s="3">
        <f t="shared" ref="E204:E267" si="3">D204*2</f>
        <v>474</v>
      </c>
      <c r="F204" s="3" t="str" cm="1">
        <f t="array" ref="F204">IF(ABS(E204-hdrmark)&lt;(Tolerance*hdrmark),"HdrMark",IF(ABS(E204-hdrspace)&lt;(Tolerance*hdrspace),"HdrSpace",(IF(ABS(E204-gap)&lt;(Tolerance*gap),"Gap",IF(ISNUMBER(SEARCH("BitMark",F205)),IF(ABS(E204-zerospace)&lt;(Tolerance*zerospace),1,0),"BitMark")))))</f>
        <v>BitMark</v>
      </c>
    </row>
    <row r="205" spans="2:6" x14ac:dyDescent="0.25">
      <c r="B205" s="5" t="s">
        <v>222</v>
      </c>
      <c r="C205" s="3">
        <v>422</v>
      </c>
      <c r="D205" s="3">
        <v>196</v>
      </c>
      <c r="E205" s="3">
        <f t="shared" si="3"/>
        <v>392</v>
      </c>
      <c r="F205" s="3" cm="1">
        <f t="array" ref="F205">IF(ABS(E205-hdrmark)&lt;(Tolerance*hdrmark),"HdrMark",IF(ABS(E205-hdrspace)&lt;(Tolerance*hdrspace),"HdrSpace",(IF(ABS(E205-gap)&lt;(Tolerance*gap),"Gap",IF(ISNUMBER(SEARCH("BitMark",F206)),IF(ABS(E205-zerospace)&lt;(Tolerance*zerospace),1,0),"BitMark")))))</f>
        <v>0</v>
      </c>
    </row>
    <row r="206" spans="2:6" ht="15" customHeight="1" x14ac:dyDescent="0.25">
      <c r="B206" s="5" t="s">
        <v>223</v>
      </c>
      <c r="C206" s="3">
        <v>444</v>
      </c>
      <c r="D206" s="3">
        <v>238</v>
      </c>
      <c r="E206" s="3">
        <f t="shared" si="3"/>
        <v>476</v>
      </c>
      <c r="F206" s="3" t="str" cm="1">
        <f t="array" ref="F206">IF(ABS(E206-hdrmark)&lt;(Tolerance*hdrmark),"HdrMark",IF(ABS(E206-hdrspace)&lt;(Tolerance*hdrspace),"HdrSpace",(IF(ABS(E206-gap)&lt;(Tolerance*gap),"Gap",IF(ISNUMBER(SEARCH("BitMark",F207)),IF(ABS(E206-zerospace)&lt;(Tolerance*zerospace),1,0),"BitMark")))))</f>
        <v>BitMark</v>
      </c>
    </row>
    <row r="207" spans="2:6" x14ac:dyDescent="0.25">
      <c r="B207" s="5" t="s">
        <v>224</v>
      </c>
      <c r="C207" s="3">
        <v>418</v>
      </c>
      <c r="D207" s="3">
        <v>195</v>
      </c>
      <c r="E207" s="3">
        <f t="shared" si="3"/>
        <v>390</v>
      </c>
      <c r="F207" s="3" cm="1">
        <f t="array" ref="F207">IF(ABS(E207-hdrmark)&lt;(Tolerance*hdrmark),"HdrMark",IF(ABS(E207-hdrspace)&lt;(Tolerance*hdrspace),"HdrSpace",(IF(ABS(E207-gap)&lt;(Tolerance*gap),"Gap",IF(ISNUMBER(SEARCH("BitMark",F208)),IF(ABS(E207-zerospace)&lt;(Tolerance*zerospace),1,0),"BitMark")))))</f>
        <v>0</v>
      </c>
    </row>
    <row r="208" spans="2:6" ht="15" customHeight="1" x14ac:dyDescent="0.25">
      <c r="B208" s="5" t="s">
        <v>225</v>
      </c>
      <c r="C208" s="3">
        <v>450</v>
      </c>
      <c r="D208" s="3">
        <v>240</v>
      </c>
      <c r="E208" s="3">
        <f t="shared" si="3"/>
        <v>480</v>
      </c>
      <c r="F208" s="3" t="str" cm="1">
        <f t="array" ref="F208">IF(ABS(E208-hdrmark)&lt;(Tolerance*hdrmark),"HdrMark",IF(ABS(E208-hdrspace)&lt;(Tolerance*hdrspace),"HdrSpace",(IF(ABS(E208-gap)&lt;(Tolerance*gap),"Gap",IF(ISNUMBER(SEARCH("BitMark",F209)),IF(ABS(E208-zerospace)&lt;(Tolerance*zerospace),1,0),"BitMark")))))</f>
        <v>BitMark</v>
      </c>
    </row>
    <row r="209" spans="2:6" x14ac:dyDescent="0.25">
      <c r="B209" s="5" t="s">
        <v>226</v>
      </c>
      <c r="C209" s="3">
        <v>412</v>
      </c>
      <c r="D209" s="3">
        <v>192</v>
      </c>
      <c r="E209" s="3">
        <f t="shared" si="3"/>
        <v>384</v>
      </c>
      <c r="F209" s="3" cm="1">
        <f t="array" ref="F209">IF(ABS(E209-hdrmark)&lt;(Tolerance*hdrmark),"HdrMark",IF(ABS(E209-hdrspace)&lt;(Tolerance*hdrspace),"HdrSpace",(IF(ABS(E209-gap)&lt;(Tolerance*gap),"Gap",IF(ISNUMBER(SEARCH("BitMark",F210)),IF(ABS(E209-zerospace)&lt;(Tolerance*zerospace),1,0),"BitMark")))))</f>
        <v>0</v>
      </c>
    </row>
    <row r="210" spans="2:6" ht="15" customHeight="1" x14ac:dyDescent="0.25">
      <c r="B210" s="5" t="s">
        <v>227</v>
      </c>
      <c r="C210" s="3">
        <v>442</v>
      </c>
      <c r="D210" s="3">
        <v>237</v>
      </c>
      <c r="E210" s="3">
        <f t="shared" si="3"/>
        <v>474</v>
      </c>
      <c r="F210" s="3" t="str" cm="1">
        <f t="array" ref="F210">IF(ABS(E210-hdrmark)&lt;(Tolerance*hdrmark),"HdrMark",IF(ABS(E210-hdrspace)&lt;(Tolerance*hdrspace),"HdrSpace",(IF(ABS(E210-gap)&lt;(Tolerance*gap),"Gap",IF(ISNUMBER(SEARCH("BitMark",F211)),IF(ABS(E210-zerospace)&lt;(Tolerance*zerospace),1,0),"BitMark")))))</f>
        <v>BitMark</v>
      </c>
    </row>
    <row r="211" spans="2:6" x14ac:dyDescent="0.25">
      <c r="B211" s="5" t="s">
        <v>228</v>
      </c>
      <c r="C211" s="3">
        <v>420</v>
      </c>
      <c r="D211" s="3">
        <v>197</v>
      </c>
      <c r="E211" s="3">
        <f t="shared" si="3"/>
        <v>394</v>
      </c>
      <c r="F211" s="3" cm="1">
        <f t="array" ref="F211">IF(ABS(E211-hdrmark)&lt;(Tolerance*hdrmark),"HdrMark",IF(ABS(E211-hdrspace)&lt;(Tolerance*hdrspace),"HdrSpace",(IF(ABS(E211-gap)&lt;(Tolerance*gap),"Gap",IF(ISNUMBER(SEARCH("BitMark",F212)),IF(ABS(E211-zerospace)&lt;(Tolerance*zerospace),1,0),"BitMark")))))</f>
        <v>0</v>
      </c>
    </row>
    <row r="212" spans="2:6" ht="15" customHeight="1" x14ac:dyDescent="0.25">
      <c r="B212" s="5" t="s">
        <v>229</v>
      </c>
      <c r="C212" s="3">
        <v>446</v>
      </c>
      <c r="D212" s="3">
        <v>237</v>
      </c>
      <c r="E212" s="3">
        <f t="shared" si="3"/>
        <v>474</v>
      </c>
      <c r="F212" s="3" t="str" cm="1">
        <f t="array" ref="F212">IF(ABS(E212-hdrmark)&lt;(Tolerance*hdrmark),"HdrMark",IF(ABS(E212-hdrspace)&lt;(Tolerance*hdrspace),"HdrSpace",(IF(ABS(E212-gap)&lt;(Tolerance*gap),"Gap",IF(ISNUMBER(SEARCH("BitMark",F213)),IF(ABS(E212-zerospace)&lt;(Tolerance*zerospace),1,0),"BitMark")))))</f>
        <v>BitMark</v>
      </c>
    </row>
    <row r="213" spans="2:6" x14ac:dyDescent="0.25">
      <c r="B213" s="5" t="s">
        <v>230</v>
      </c>
      <c r="C213" s="3">
        <v>414</v>
      </c>
      <c r="D213" s="3">
        <v>194</v>
      </c>
      <c r="E213" s="3">
        <f t="shared" si="3"/>
        <v>388</v>
      </c>
      <c r="F213" s="3" cm="1">
        <f t="array" ref="F213">IF(ABS(E213-hdrmark)&lt;(Tolerance*hdrmark),"HdrMark",IF(ABS(E213-hdrspace)&lt;(Tolerance*hdrspace),"HdrSpace",(IF(ABS(E213-gap)&lt;(Tolerance*gap),"Gap",IF(ISNUMBER(SEARCH("BitMark",F214)),IF(ABS(E213-zerospace)&lt;(Tolerance*zerospace),1,0),"BitMark")))))</f>
        <v>0</v>
      </c>
    </row>
    <row r="214" spans="2:6" ht="15" customHeight="1" x14ac:dyDescent="0.25">
      <c r="B214" s="5" t="s">
        <v>28</v>
      </c>
      <c r="C214" s="3">
        <v>442</v>
      </c>
      <c r="D214" s="3">
        <v>235</v>
      </c>
      <c r="E214" s="3">
        <f t="shared" si="3"/>
        <v>470</v>
      </c>
      <c r="F214" s="3" t="str" cm="1">
        <f t="array" ref="F214">IF(ABS(E214-hdrmark)&lt;(Tolerance*hdrmark),"HdrMark",IF(ABS(E214-hdrspace)&lt;(Tolerance*hdrspace),"HdrSpace",(IF(ABS(E214-gap)&lt;(Tolerance*gap),"Gap",IF(ISNUMBER(SEARCH("BitMark",F215)),IF(ABS(E214-zerospace)&lt;(Tolerance*zerospace),1,0),"BitMark")))))</f>
        <v>BitMark</v>
      </c>
    </row>
    <row r="215" spans="2:6" x14ac:dyDescent="0.25">
      <c r="B215" s="5" t="s">
        <v>231</v>
      </c>
      <c r="C215" s="3">
        <v>420</v>
      </c>
      <c r="D215" s="3">
        <v>198</v>
      </c>
      <c r="E215" s="3">
        <f t="shared" si="3"/>
        <v>396</v>
      </c>
      <c r="F215" s="3" cm="1">
        <f t="array" ref="F215">IF(ABS(E215-hdrmark)&lt;(Tolerance*hdrmark),"HdrMark",IF(ABS(E215-hdrspace)&lt;(Tolerance*hdrspace),"HdrSpace",(IF(ABS(E215-gap)&lt;(Tolerance*gap),"Gap",IF(ISNUMBER(SEARCH("BitMark",F216)),IF(ABS(E215-zerospace)&lt;(Tolerance*zerospace),1,0),"BitMark")))))</f>
        <v>0</v>
      </c>
    </row>
    <row r="216" spans="2:6" ht="15" customHeight="1" x14ac:dyDescent="0.25">
      <c r="B216" s="5" t="s">
        <v>25</v>
      </c>
      <c r="C216" s="3">
        <v>446</v>
      </c>
      <c r="D216" s="3">
        <v>236</v>
      </c>
      <c r="E216" s="3">
        <f t="shared" si="3"/>
        <v>472</v>
      </c>
      <c r="F216" s="3" t="str" cm="1">
        <f t="array" ref="F216">IF(ABS(E216-hdrmark)&lt;(Tolerance*hdrmark),"HdrMark",IF(ABS(E216-hdrspace)&lt;(Tolerance*hdrspace),"HdrSpace",(IF(ABS(E216-gap)&lt;(Tolerance*gap),"Gap",IF(ISNUMBER(SEARCH("BitMark",F217)),IF(ABS(E216-zerospace)&lt;(Tolerance*zerospace),1,0),"BitMark")))))</f>
        <v>BitMark</v>
      </c>
    </row>
    <row r="217" spans="2:6" x14ac:dyDescent="0.25">
      <c r="B217" s="5" t="s">
        <v>19</v>
      </c>
      <c r="C217" s="3">
        <v>416</v>
      </c>
      <c r="D217" s="3">
        <v>197</v>
      </c>
      <c r="E217" s="3">
        <f t="shared" si="3"/>
        <v>394</v>
      </c>
      <c r="F217" s="3" cm="1">
        <f t="array" ref="F217">IF(ABS(E217-hdrmark)&lt;(Tolerance*hdrmark),"HdrMark",IF(ABS(E217-hdrspace)&lt;(Tolerance*hdrspace),"HdrSpace",(IF(ABS(E217-gap)&lt;(Tolerance*gap),"Gap",IF(ISNUMBER(SEARCH("BitMark",F218)),IF(ABS(E217-zerospace)&lt;(Tolerance*zerospace),1,0),"BitMark")))))</f>
        <v>0</v>
      </c>
    </row>
    <row r="218" spans="2:6" ht="15" customHeight="1" x14ac:dyDescent="0.25">
      <c r="B218" s="5" t="s">
        <v>23</v>
      </c>
      <c r="C218" s="3">
        <v>440</v>
      </c>
      <c r="D218" s="3">
        <v>238</v>
      </c>
      <c r="E218" s="3">
        <f t="shared" si="3"/>
        <v>476</v>
      </c>
      <c r="F218" s="3" t="str" cm="1">
        <f t="array" ref="F218">IF(ABS(E218-hdrmark)&lt;(Tolerance*hdrmark),"HdrMark",IF(ABS(E218-hdrspace)&lt;(Tolerance*hdrspace),"HdrSpace",(IF(ABS(E218-gap)&lt;(Tolerance*gap),"Gap",IF(ISNUMBER(SEARCH("BitMark",F219)),IF(ABS(E218-zerospace)&lt;(Tolerance*zerospace),1,0),"BitMark")))))</f>
        <v>BitMark</v>
      </c>
    </row>
    <row r="219" spans="2:6" x14ac:dyDescent="0.25">
      <c r="B219" s="5" t="s">
        <v>17</v>
      </c>
      <c r="C219" s="3">
        <v>422</v>
      </c>
      <c r="D219" s="3">
        <v>195</v>
      </c>
      <c r="E219" s="3">
        <f t="shared" si="3"/>
        <v>390</v>
      </c>
      <c r="F219" s="3" cm="1">
        <f t="array" ref="F219">IF(ABS(E219-hdrmark)&lt;(Tolerance*hdrmark),"HdrMark",IF(ABS(E219-hdrspace)&lt;(Tolerance*hdrspace),"HdrSpace",(IF(ABS(E219-gap)&lt;(Tolerance*gap),"Gap",IF(ISNUMBER(SEARCH("BitMark",F220)),IF(ABS(E219-zerospace)&lt;(Tolerance*zerospace),1,0),"BitMark")))))</f>
        <v>0</v>
      </c>
    </row>
    <row r="220" spans="2:6" ht="15" customHeight="1" x14ac:dyDescent="0.25">
      <c r="B220" s="5" t="s">
        <v>21</v>
      </c>
      <c r="C220" s="3">
        <v>444</v>
      </c>
      <c r="D220" s="3">
        <v>234</v>
      </c>
      <c r="E220" s="3">
        <f t="shared" si="3"/>
        <v>468</v>
      </c>
      <c r="F220" s="3" t="str" cm="1">
        <f t="array" ref="F220">IF(ABS(E220-hdrmark)&lt;(Tolerance*hdrmark),"HdrMark",IF(ABS(E220-hdrspace)&lt;(Tolerance*hdrspace),"HdrSpace",(IF(ABS(E220-gap)&lt;(Tolerance*gap),"Gap",IF(ISNUMBER(SEARCH("BitMark",F221)),IF(ABS(E220-zerospace)&lt;(Tolerance*zerospace),1,0),"BitMark")))))</f>
        <v>BitMark</v>
      </c>
    </row>
    <row r="221" spans="2:6" x14ac:dyDescent="0.25">
      <c r="B221" s="5" t="s">
        <v>26</v>
      </c>
      <c r="C221" s="3">
        <v>418</v>
      </c>
      <c r="D221" s="3">
        <v>199</v>
      </c>
      <c r="E221" s="3">
        <f t="shared" si="3"/>
        <v>398</v>
      </c>
      <c r="F221" s="3" cm="1">
        <f t="array" ref="F221">IF(ABS(E221-hdrmark)&lt;(Tolerance*hdrmark),"HdrMark",IF(ABS(E221-hdrspace)&lt;(Tolerance*hdrspace),"HdrSpace",(IF(ABS(E221-gap)&lt;(Tolerance*gap),"Gap",IF(ISNUMBER(SEARCH("BitMark",F222)),IF(ABS(E221-zerospace)&lt;(Tolerance*zerospace),1,0),"BitMark")))))</f>
        <v>0</v>
      </c>
    </row>
    <row r="222" spans="2:6" ht="15" customHeight="1" x14ac:dyDescent="0.25">
      <c r="B222" s="5" t="s">
        <v>232</v>
      </c>
      <c r="C222" s="3">
        <v>448</v>
      </c>
      <c r="D222" s="3">
        <v>236</v>
      </c>
      <c r="E222" s="3">
        <f t="shared" si="3"/>
        <v>472</v>
      </c>
      <c r="F222" s="3" t="str" cm="1">
        <f t="array" ref="F222">IF(ABS(E222-hdrmark)&lt;(Tolerance*hdrmark),"HdrMark",IF(ABS(E222-hdrspace)&lt;(Tolerance*hdrspace),"HdrSpace",(IF(ABS(E222-gap)&lt;(Tolerance*gap),"Gap",IF(ISNUMBER(SEARCH("BitMark",F223)),IF(ABS(E222-zerospace)&lt;(Tolerance*zerospace),1,0),"BitMark")))))</f>
        <v>BitMark</v>
      </c>
    </row>
    <row r="223" spans="2:6" x14ac:dyDescent="0.25">
      <c r="B223" s="5" t="s">
        <v>233</v>
      </c>
      <c r="C223" s="3">
        <v>414</v>
      </c>
      <c r="D223" s="3">
        <v>197</v>
      </c>
      <c r="E223" s="3">
        <f t="shared" si="3"/>
        <v>394</v>
      </c>
      <c r="F223" s="3" cm="1">
        <f t="array" ref="F223">IF(ABS(E223-hdrmark)&lt;(Tolerance*hdrmark),"HdrMark",IF(ABS(E223-hdrspace)&lt;(Tolerance*hdrspace),"HdrSpace",(IF(ABS(E223-gap)&lt;(Tolerance*gap),"Gap",IF(ISNUMBER(SEARCH("BitMark",F224)),IF(ABS(E223-zerospace)&lt;(Tolerance*zerospace),1,0),"BitMark")))))</f>
        <v>0</v>
      </c>
    </row>
    <row r="224" spans="2:6" ht="15" customHeight="1" x14ac:dyDescent="0.25">
      <c r="B224" s="5" t="s">
        <v>234</v>
      </c>
      <c r="C224" s="3">
        <v>442</v>
      </c>
      <c r="D224" s="3">
        <v>237</v>
      </c>
      <c r="E224" s="3">
        <f t="shared" si="3"/>
        <v>474</v>
      </c>
      <c r="F224" s="3" t="str" cm="1">
        <f t="array" ref="F224">IF(ABS(E224-hdrmark)&lt;(Tolerance*hdrmark),"HdrMark",IF(ABS(E224-hdrspace)&lt;(Tolerance*hdrspace),"HdrSpace",(IF(ABS(E224-gap)&lt;(Tolerance*gap),"Gap",IF(ISNUMBER(SEARCH("BitMark",F225)),IF(ABS(E224-zerospace)&lt;(Tolerance*zerospace),1,0),"BitMark")))))</f>
        <v>BitMark</v>
      </c>
    </row>
    <row r="225" spans="2:6" x14ac:dyDescent="0.25">
      <c r="B225" s="5" t="s">
        <v>235</v>
      </c>
      <c r="C225" s="3">
        <v>420</v>
      </c>
      <c r="D225" s="3">
        <v>196</v>
      </c>
      <c r="E225" s="3">
        <f t="shared" si="3"/>
        <v>392</v>
      </c>
      <c r="F225" s="3" cm="1">
        <f t="array" ref="F225">IF(ABS(E225-hdrmark)&lt;(Tolerance*hdrmark),"HdrMark",IF(ABS(E225-hdrspace)&lt;(Tolerance*hdrspace),"HdrSpace",(IF(ABS(E225-gap)&lt;(Tolerance*gap),"Gap",IF(ISNUMBER(SEARCH("BitMark",F226)),IF(ABS(E225-zerospace)&lt;(Tolerance*zerospace),1,0),"BitMark")))))</f>
        <v>0</v>
      </c>
    </row>
    <row r="226" spans="2:6" ht="15" customHeight="1" x14ac:dyDescent="0.25">
      <c r="B226" s="5" t="s">
        <v>236</v>
      </c>
      <c r="C226" s="3">
        <v>446</v>
      </c>
      <c r="D226" s="3">
        <v>239</v>
      </c>
      <c r="E226" s="3">
        <f t="shared" si="3"/>
        <v>478</v>
      </c>
      <c r="F226" s="3" t="str" cm="1">
        <f t="array" ref="F226">IF(ABS(E226-hdrmark)&lt;(Tolerance*hdrmark),"HdrMark",IF(ABS(E226-hdrspace)&lt;(Tolerance*hdrspace),"HdrSpace",(IF(ABS(E226-gap)&lt;(Tolerance*gap),"Gap",IF(ISNUMBER(SEARCH("BitMark",F227)),IF(ABS(E226-zerospace)&lt;(Tolerance*zerospace),1,0),"BitMark")))))</f>
        <v>BitMark</v>
      </c>
    </row>
    <row r="227" spans="2:6" x14ac:dyDescent="0.25">
      <c r="B227" s="5" t="s">
        <v>237</v>
      </c>
      <c r="C227" s="3">
        <v>1278</v>
      </c>
      <c r="D227" s="3">
        <v>626</v>
      </c>
      <c r="E227" s="3">
        <f t="shared" si="3"/>
        <v>1252</v>
      </c>
      <c r="F227" s="3" cm="1">
        <f t="array" ref="F227">IF(ABS(E227-hdrmark)&lt;(Tolerance*hdrmark),"HdrMark",IF(ABS(E227-hdrspace)&lt;(Tolerance*hdrspace),"HdrSpace",(IF(ABS(E227-gap)&lt;(Tolerance*gap),"Gap",IF(ISNUMBER(SEARCH("BitMark",F228)),IF(ABS(E227-zerospace)&lt;(Tolerance*zerospace),1,0),"BitMark")))))</f>
        <v>1</v>
      </c>
    </row>
    <row r="228" spans="2:6" ht="15" customHeight="1" x14ac:dyDescent="0.25">
      <c r="B228" s="5" t="s">
        <v>238</v>
      </c>
      <c r="C228" s="3">
        <v>446</v>
      </c>
      <c r="D228" s="3">
        <v>238</v>
      </c>
      <c r="E228" s="3">
        <f t="shared" si="3"/>
        <v>476</v>
      </c>
      <c r="F228" s="3" t="str" cm="1">
        <f t="array" ref="F228">IF(ABS(E228-hdrmark)&lt;(Tolerance*hdrmark),"HdrMark",IF(ABS(E228-hdrspace)&lt;(Tolerance*hdrspace),"HdrSpace",(IF(ABS(E228-gap)&lt;(Tolerance*gap),"Gap",IF(ISNUMBER(SEARCH("BitMark",F229)),IF(ABS(E228-zerospace)&lt;(Tolerance*zerospace),1,0),"BitMark")))))</f>
        <v>BitMark</v>
      </c>
    </row>
    <row r="229" spans="2:6" ht="15" customHeight="1" x14ac:dyDescent="0.25">
      <c r="B229" s="5" t="s">
        <v>239</v>
      </c>
      <c r="C229" s="3">
        <v>416</v>
      </c>
      <c r="D229" s="3">
        <v>194</v>
      </c>
      <c r="E229" s="3">
        <f t="shared" si="3"/>
        <v>388</v>
      </c>
      <c r="F229" s="3" cm="1">
        <f t="array" ref="F229">IF(ABS(E229-hdrmark)&lt;(Tolerance*hdrmark),"HdrMark",IF(ABS(E229-hdrspace)&lt;(Tolerance*hdrspace),"HdrSpace",(IF(ABS(E229-gap)&lt;(Tolerance*gap),"Gap",IF(ISNUMBER(SEARCH("BitMark",F230)),IF(ABS(E229-zerospace)&lt;(Tolerance*zerospace),1,0),"BitMark")))))</f>
        <v>0</v>
      </c>
    </row>
    <row r="230" spans="2:6" ht="15" customHeight="1" x14ac:dyDescent="0.25">
      <c r="B230" s="5" t="s">
        <v>27</v>
      </c>
      <c r="C230" s="3">
        <v>440</v>
      </c>
      <c r="D230" s="3">
        <v>235</v>
      </c>
      <c r="E230" s="3">
        <f t="shared" si="3"/>
        <v>470</v>
      </c>
      <c r="F230" s="3" t="str" cm="1">
        <f t="array" ref="F230">IF(ABS(E230-hdrmark)&lt;(Tolerance*hdrmark),"HdrMark",IF(ABS(E230-hdrspace)&lt;(Tolerance*hdrspace),"HdrSpace",(IF(ABS(E230-gap)&lt;(Tolerance*gap),"Gap",IF(ISNUMBER(SEARCH("BitMark",F231)),IF(ABS(E230-zerospace)&lt;(Tolerance*zerospace),1,0),"BitMark")))))</f>
        <v>BitMark</v>
      </c>
    </row>
    <row r="231" spans="2:6" x14ac:dyDescent="0.25">
      <c r="B231" s="5" t="s">
        <v>20</v>
      </c>
      <c r="C231" s="3">
        <v>422</v>
      </c>
      <c r="D231" s="3">
        <v>198</v>
      </c>
      <c r="E231" s="3">
        <f t="shared" si="3"/>
        <v>396</v>
      </c>
      <c r="F231" s="3" cm="1">
        <f t="array" ref="F231">IF(ABS(E231-hdrmark)&lt;(Tolerance*hdrmark),"HdrMark",IF(ABS(E231-hdrspace)&lt;(Tolerance*hdrspace),"HdrSpace",(IF(ABS(E231-gap)&lt;(Tolerance*gap),"Gap",IF(ISNUMBER(SEARCH("BitMark",F232)),IF(ABS(E231-zerospace)&lt;(Tolerance*zerospace),1,0),"BitMark")))))</f>
        <v>0</v>
      </c>
    </row>
    <row r="232" spans="2:6" ht="15" customHeight="1" x14ac:dyDescent="0.25">
      <c r="B232" s="5" t="s">
        <v>16</v>
      </c>
      <c r="C232" s="3">
        <v>422</v>
      </c>
      <c r="D232" s="3">
        <v>221</v>
      </c>
      <c r="E232" s="3">
        <f t="shared" si="3"/>
        <v>442</v>
      </c>
      <c r="F232" s="3" t="str" cm="1">
        <f t="array" ref="F232">IF(ABS(E232-hdrmark)&lt;(Tolerance*hdrmark),"HdrMark",IF(ABS(E232-hdrspace)&lt;(Tolerance*hdrspace),"HdrSpace",(IF(ABS(E232-gap)&lt;(Tolerance*gap),"Gap",IF(ISNUMBER(SEARCH("BitMark",F233)),IF(ABS(E232-zerospace)&lt;(Tolerance*zerospace),1,0),"BitMark")))))</f>
        <v>BitMark</v>
      </c>
    </row>
    <row r="233" spans="2:6" x14ac:dyDescent="0.25">
      <c r="B233" s="5" t="s">
        <v>22</v>
      </c>
      <c r="C233" s="3">
        <v>444</v>
      </c>
      <c r="D233" s="3">
        <v>217</v>
      </c>
      <c r="E233" s="3">
        <f t="shared" si="3"/>
        <v>434</v>
      </c>
      <c r="F233" s="3" cm="1">
        <f t="array" ref="F233">IF(ABS(E233-hdrmark)&lt;(Tolerance*hdrmark),"HdrMark",IF(ABS(E233-hdrspace)&lt;(Tolerance*hdrspace),"HdrSpace",(IF(ABS(E233-gap)&lt;(Tolerance*gap),"Gap",IF(ISNUMBER(SEARCH("BitMark",F234)),IF(ABS(E233-zerospace)&lt;(Tolerance*zerospace),1,0),"BitMark")))))</f>
        <v>0</v>
      </c>
    </row>
    <row r="234" spans="2:6" ht="15" customHeight="1" x14ac:dyDescent="0.25">
      <c r="B234" s="5" t="s">
        <v>18</v>
      </c>
      <c r="C234" s="3">
        <v>418</v>
      </c>
      <c r="D234" s="3">
        <v>218</v>
      </c>
      <c r="E234" s="3">
        <f t="shared" si="3"/>
        <v>436</v>
      </c>
      <c r="F234" s="3" t="str" cm="1">
        <f t="array" ref="F234">IF(ABS(E234-hdrmark)&lt;(Tolerance*hdrmark),"HdrMark",IF(ABS(E234-hdrspace)&lt;(Tolerance*hdrspace),"HdrSpace",(IF(ABS(E234-gap)&lt;(Tolerance*gap),"Gap",IF(ISNUMBER(SEARCH("BitMark",F235)),IF(ABS(E234-zerospace)&lt;(Tolerance*zerospace),1,0),"BitMark")))))</f>
        <v>BitMark</v>
      </c>
    </row>
    <row r="235" spans="2:6" x14ac:dyDescent="0.25">
      <c r="B235" s="5" t="s">
        <v>24</v>
      </c>
      <c r="C235" s="3">
        <v>448</v>
      </c>
      <c r="D235" s="3">
        <v>215</v>
      </c>
      <c r="E235" s="3">
        <f t="shared" si="3"/>
        <v>430</v>
      </c>
      <c r="F235" s="3" cm="1">
        <f t="array" ref="F235">IF(ABS(E235-hdrmark)&lt;(Tolerance*hdrmark),"HdrMark",IF(ABS(E235-hdrspace)&lt;(Tolerance*hdrspace),"HdrSpace",(IF(ABS(E235-gap)&lt;(Tolerance*gap),"Gap",IF(ISNUMBER(SEARCH("BitMark",F236)),IF(ABS(E235-zerospace)&lt;(Tolerance*zerospace),1,0),"BitMark")))))</f>
        <v>0</v>
      </c>
    </row>
    <row r="236" spans="2:6" ht="15" customHeight="1" x14ac:dyDescent="0.25">
      <c r="B236" s="5" t="s">
        <v>240</v>
      </c>
      <c r="C236" s="3">
        <v>1276</v>
      </c>
      <c r="D236" s="3">
        <v>655</v>
      </c>
      <c r="E236" s="3">
        <f t="shared" si="3"/>
        <v>1310</v>
      </c>
      <c r="F236" s="3" t="str" cm="1">
        <f t="array" ref="F236">IF(ABS(E236-hdrmark)&lt;(Tolerance*hdrmark),"HdrMark",IF(ABS(E236-hdrspace)&lt;(Tolerance*hdrspace),"HdrSpace",(IF(ABS(E236-gap)&lt;(Tolerance*gap),"Gap",IF(ISNUMBER(SEARCH("BitMark",F237)),IF(ABS(E236-zerospace)&lt;(Tolerance*zerospace),1,0),"BitMark")))))</f>
        <v>BitMark</v>
      </c>
    </row>
    <row r="237" spans="2:6" x14ac:dyDescent="0.25">
      <c r="B237" s="5" t="s">
        <v>15</v>
      </c>
      <c r="C237" s="3">
        <v>446</v>
      </c>
      <c r="D237" s="3">
        <v>221</v>
      </c>
      <c r="E237" s="3">
        <f t="shared" si="3"/>
        <v>442</v>
      </c>
      <c r="F237" s="3" cm="1">
        <f t="array" ref="F237">IF(ABS(E237-hdrmark)&lt;(Tolerance*hdrmark),"HdrMark",IF(ABS(E237-hdrspace)&lt;(Tolerance*hdrspace),"HdrSpace",(IF(ABS(E237-gap)&lt;(Tolerance*gap),"Gap",IF(ISNUMBER(SEARCH("BitMark",F238)),IF(ABS(E237-zerospace)&lt;(Tolerance*zerospace),1,0),"BitMark")))))</f>
        <v>0</v>
      </c>
    </row>
    <row r="238" spans="2:6" ht="15" customHeight="1" x14ac:dyDescent="0.25">
      <c r="B238" s="5" t="s">
        <v>241</v>
      </c>
      <c r="C238" s="3">
        <v>1278</v>
      </c>
      <c r="D238" s="3">
        <v>643</v>
      </c>
      <c r="E238" s="3">
        <f t="shared" si="3"/>
        <v>1286</v>
      </c>
      <c r="F238" s="3" t="str" cm="1">
        <f t="array" ref="F238">IF(ABS(E238-hdrmark)&lt;(Tolerance*hdrmark),"HdrMark",IF(ABS(E238-hdrspace)&lt;(Tolerance*hdrspace),"HdrSpace",(IF(ABS(E238-gap)&lt;(Tolerance*gap),"Gap",IF(ISNUMBER(SEARCH("BitMark",F239)),IF(ABS(E238-zerospace)&lt;(Tolerance*zerospace),1,0),"BitMark")))))</f>
        <v>BitMark</v>
      </c>
    </row>
    <row r="239" spans="2:6" x14ac:dyDescent="0.25">
      <c r="B239" s="5" t="s">
        <v>242</v>
      </c>
      <c r="C239" s="3">
        <v>446</v>
      </c>
      <c r="D239" s="3">
        <v>221</v>
      </c>
      <c r="E239" s="3">
        <f t="shared" si="3"/>
        <v>442</v>
      </c>
      <c r="F239" s="3" cm="1">
        <f t="array" ref="F239">IF(ABS(E239-hdrmark)&lt;(Tolerance*hdrmark),"HdrMark",IF(ABS(E239-hdrspace)&lt;(Tolerance*hdrspace),"HdrSpace",(IF(ABS(E239-gap)&lt;(Tolerance*gap),"Gap",IF(ISNUMBER(SEARCH("BitMark",F240)),IF(ABS(E239-zerospace)&lt;(Tolerance*zerospace),1,0),"BitMark")))))</f>
        <v>0</v>
      </c>
    </row>
    <row r="240" spans="2:6" ht="15" customHeight="1" x14ac:dyDescent="0.25">
      <c r="B240" s="5" t="s">
        <v>243</v>
      </c>
      <c r="C240" s="3">
        <v>416</v>
      </c>
      <c r="D240" s="3">
        <v>208</v>
      </c>
      <c r="E240" s="3">
        <f t="shared" si="3"/>
        <v>416</v>
      </c>
      <c r="F240" s="3" t="str" cm="1">
        <f t="array" ref="F240">IF(ABS(E240-hdrmark)&lt;(Tolerance*hdrmark),"HdrMark",IF(ABS(E240-hdrspace)&lt;(Tolerance*hdrspace),"HdrSpace",(IF(ABS(E240-gap)&lt;(Tolerance*gap),"Gap",IF(ISNUMBER(SEARCH("BitMark",F241)),IF(ABS(E240-zerospace)&lt;(Tolerance*zerospace),1,0),"BitMark")))))</f>
        <v>BitMark</v>
      </c>
    </row>
    <row r="241" spans="2:6" x14ac:dyDescent="0.25">
      <c r="B241" s="5" t="s">
        <v>244</v>
      </c>
      <c r="C241" s="3">
        <v>448</v>
      </c>
      <c r="D241" s="3">
        <v>212</v>
      </c>
      <c r="E241" s="3">
        <f t="shared" si="3"/>
        <v>424</v>
      </c>
      <c r="F241" s="3" cm="1">
        <f t="array" ref="F241">IF(ABS(E241-hdrmark)&lt;(Tolerance*hdrmark),"HdrMark",IF(ABS(E241-hdrspace)&lt;(Tolerance*hdrspace),"HdrSpace",(IF(ABS(E241-gap)&lt;(Tolerance*gap),"Gap",IF(ISNUMBER(SEARCH("BitMark",F242)),IF(ABS(E241-zerospace)&lt;(Tolerance*zerospace),1,0),"BitMark")))))</f>
        <v>0</v>
      </c>
    </row>
    <row r="242" spans="2:6" ht="15" customHeight="1" x14ac:dyDescent="0.25">
      <c r="B242" s="5" t="s">
        <v>245</v>
      </c>
      <c r="C242" s="3">
        <v>414</v>
      </c>
      <c r="D242" s="3">
        <v>222</v>
      </c>
      <c r="E242" s="3">
        <f t="shared" si="3"/>
        <v>444</v>
      </c>
      <c r="F242" s="3" t="str" cm="1">
        <f t="array" ref="F242">IF(ABS(E242-hdrmark)&lt;(Tolerance*hdrmark),"HdrMark",IF(ABS(E242-hdrspace)&lt;(Tolerance*hdrspace),"HdrSpace",(IF(ABS(E242-gap)&lt;(Tolerance*gap),"Gap",IF(ISNUMBER(SEARCH("BitMark",F243)),IF(ABS(E242-zerospace)&lt;(Tolerance*zerospace),1,0),"BitMark")))))</f>
        <v>BitMark</v>
      </c>
    </row>
    <row r="243" spans="2:6" x14ac:dyDescent="0.25">
      <c r="B243" s="5" t="s">
        <v>246</v>
      </c>
      <c r="C243" s="3">
        <v>442</v>
      </c>
      <c r="D243" s="3">
        <v>209</v>
      </c>
      <c r="E243" s="3">
        <f t="shared" si="3"/>
        <v>418</v>
      </c>
      <c r="F243" s="3" cm="1">
        <f t="array" ref="F243">IF(ABS(E243-hdrmark)&lt;(Tolerance*hdrmark),"HdrMark",IF(ABS(E243-hdrspace)&lt;(Tolerance*hdrspace),"HdrSpace",(IF(ABS(E243-gap)&lt;(Tolerance*gap),"Gap",IF(ISNUMBER(SEARCH("BitMark",F244)),IF(ABS(E243-zerospace)&lt;(Tolerance*zerospace),1,0),"BitMark")))))</f>
        <v>0</v>
      </c>
    </row>
    <row r="244" spans="2:6" ht="15" customHeight="1" x14ac:dyDescent="0.25">
      <c r="B244" s="5" t="s">
        <v>247</v>
      </c>
      <c r="C244" s="3">
        <v>418</v>
      </c>
      <c r="D244" s="3">
        <v>221</v>
      </c>
      <c r="E244" s="3">
        <f t="shared" si="3"/>
        <v>442</v>
      </c>
      <c r="F244" s="3" t="str" cm="1">
        <f t="array" ref="F244">IF(ABS(E244-hdrmark)&lt;(Tolerance*hdrmark),"HdrMark",IF(ABS(E244-hdrspace)&lt;(Tolerance*hdrspace),"HdrSpace",(IF(ABS(E244-gap)&lt;(Tolerance*gap),"Gap",IF(ISNUMBER(SEARCH("BitMark",F245)),IF(ABS(E244-zerospace)&lt;(Tolerance*zerospace),1,0),"BitMark")))))</f>
        <v>BitMark</v>
      </c>
    </row>
    <row r="245" spans="2:6" x14ac:dyDescent="0.25">
      <c r="B245" s="5" t="s">
        <v>248</v>
      </c>
      <c r="C245" s="3">
        <v>448</v>
      </c>
      <c r="D245" s="3">
        <v>214</v>
      </c>
      <c r="E245" s="3">
        <f t="shared" si="3"/>
        <v>428</v>
      </c>
      <c r="F245" s="3" cm="1">
        <f t="array" ref="F245">IF(ABS(E245-hdrmark)&lt;(Tolerance*hdrmark),"HdrMark",IF(ABS(E245-hdrspace)&lt;(Tolerance*hdrspace),"HdrSpace",(IF(ABS(E245-gap)&lt;(Tolerance*gap),"Gap",IF(ISNUMBER(SEARCH("BitMark",F246)),IF(ABS(E245-zerospace)&lt;(Tolerance*zerospace),1,0),"BitMark")))))</f>
        <v>0</v>
      </c>
    </row>
    <row r="246" spans="2:6" ht="15" customHeight="1" x14ac:dyDescent="0.25">
      <c r="B246" s="5" t="s">
        <v>249</v>
      </c>
      <c r="C246" s="3">
        <v>414</v>
      </c>
      <c r="D246" s="3">
        <v>220</v>
      </c>
      <c r="E246" s="3">
        <f t="shared" si="3"/>
        <v>440</v>
      </c>
      <c r="F246" s="3" t="str" cm="1">
        <f t="array" ref="F246">IF(ABS(E246-hdrmark)&lt;(Tolerance*hdrmark),"HdrMark",IF(ABS(E246-hdrspace)&lt;(Tolerance*hdrspace),"HdrSpace",(IF(ABS(E246-gap)&lt;(Tolerance*gap),"Gap",IF(ISNUMBER(SEARCH("BitMark",F247)),IF(ABS(E246-zerospace)&lt;(Tolerance*zerospace),1,0),"BitMark")))))</f>
        <v>BitMark</v>
      </c>
    </row>
    <row r="247" spans="2:6" x14ac:dyDescent="0.25">
      <c r="B247" s="5" t="s">
        <v>250</v>
      </c>
      <c r="C247" s="3">
        <v>442</v>
      </c>
      <c r="D247" s="3">
        <v>210</v>
      </c>
      <c r="E247" s="3">
        <f t="shared" si="3"/>
        <v>420</v>
      </c>
      <c r="F247" s="3" cm="1">
        <f t="array" ref="F247">IF(ABS(E247-hdrmark)&lt;(Tolerance*hdrmark),"HdrMark",IF(ABS(E247-hdrspace)&lt;(Tolerance*hdrspace),"HdrSpace",(IF(ABS(E247-gap)&lt;(Tolerance*gap),"Gap",IF(ISNUMBER(SEARCH("BitMark",F248)),IF(ABS(E247-zerospace)&lt;(Tolerance*zerospace),1,0),"BitMark")))))</f>
        <v>0</v>
      </c>
    </row>
    <row r="248" spans="2:6" ht="15" customHeight="1" x14ac:dyDescent="0.25">
      <c r="B248" s="5" t="s">
        <v>251</v>
      </c>
      <c r="C248" s="3">
        <v>420</v>
      </c>
      <c r="D248" s="3">
        <v>225</v>
      </c>
      <c r="E248" s="3">
        <f t="shared" si="3"/>
        <v>450</v>
      </c>
      <c r="F248" s="3" t="str" cm="1">
        <f t="array" ref="F248">IF(ABS(E248-hdrmark)&lt;(Tolerance*hdrmark),"HdrMark",IF(ABS(E248-hdrspace)&lt;(Tolerance*hdrspace),"HdrSpace",(IF(ABS(E248-gap)&lt;(Tolerance*gap),"Gap",IF(ISNUMBER(SEARCH("BitMark",F249)),IF(ABS(E248-zerospace)&lt;(Tolerance*zerospace),1,0),"BitMark")))))</f>
        <v>BitMark</v>
      </c>
    </row>
    <row r="249" spans="2:6" x14ac:dyDescent="0.25">
      <c r="B249" s="5" t="s">
        <v>252</v>
      </c>
      <c r="C249" s="3">
        <v>448</v>
      </c>
      <c r="D249" s="3">
        <v>222</v>
      </c>
      <c r="E249" s="3">
        <f t="shared" si="3"/>
        <v>444</v>
      </c>
      <c r="F249" s="3" cm="1">
        <f t="array" ref="F249">IF(ABS(E249-hdrmark)&lt;(Tolerance*hdrmark),"HdrMark",IF(ABS(E249-hdrspace)&lt;(Tolerance*hdrspace),"HdrSpace",(IF(ABS(E249-gap)&lt;(Tolerance*gap),"Gap",IF(ISNUMBER(SEARCH("BitMark",F250)),IF(ABS(E249-zerospace)&lt;(Tolerance*zerospace),1,0),"BitMark")))))</f>
        <v>0</v>
      </c>
    </row>
    <row r="250" spans="2:6" ht="15" customHeight="1" x14ac:dyDescent="0.25">
      <c r="B250" s="5" t="s">
        <v>253</v>
      </c>
      <c r="C250" s="3">
        <v>1278</v>
      </c>
      <c r="D250" s="3">
        <v>642</v>
      </c>
      <c r="E250" s="3">
        <f t="shared" si="3"/>
        <v>1284</v>
      </c>
      <c r="F250" s="3" t="str" cm="1">
        <f t="array" ref="F250">IF(ABS(E250-hdrmark)&lt;(Tolerance*hdrmark),"HdrMark",IF(ABS(E250-hdrspace)&lt;(Tolerance*hdrspace),"HdrSpace",(IF(ABS(E250-gap)&lt;(Tolerance*gap),"Gap",IF(ISNUMBER(SEARCH("BitMark",F251)),IF(ABS(E250-zerospace)&lt;(Tolerance*zerospace),1,0),"BitMark")))))</f>
        <v>BitMark</v>
      </c>
    </row>
    <row r="251" spans="2:6" x14ac:dyDescent="0.25">
      <c r="B251" s="5" t="s">
        <v>254</v>
      </c>
      <c r="C251" s="3">
        <v>444</v>
      </c>
      <c r="D251" s="3">
        <v>230</v>
      </c>
      <c r="E251" s="3">
        <f t="shared" si="3"/>
        <v>460</v>
      </c>
      <c r="F251" s="3" cm="1">
        <f t="array" ref="F251">IF(ABS(E251-hdrmark)&lt;(Tolerance*hdrmark),"HdrMark",IF(ABS(E251-hdrspace)&lt;(Tolerance*hdrspace),"HdrSpace",(IF(ABS(E251-gap)&lt;(Tolerance*gap),"Gap",IF(ISNUMBER(SEARCH("BitMark",F252)),IF(ABS(E251-zerospace)&lt;(Tolerance*zerospace),1,0),"BitMark")))))</f>
        <v>0</v>
      </c>
    </row>
    <row r="252" spans="2:6" ht="15" customHeight="1" x14ac:dyDescent="0.25">
      <c r="B252" s="5" t="s">
        <v>255</v>
      </c>
      <c r="C252" s="3">
        <v>1280</v>
      </c>
      <c r="D252" s="3">
        <v>645</v>
      </c>
      <c r="E252" s="3">
        <f t="shared" si="3"/>
        <v>1290</v>
      </c>
      <c r="F252" s="3" t="str" cm="1">
        <f t="array" ref="F252">IF(ABS(E252-hdrmark)&lt;(Tolerance*hdrmark),"HdrMark",IF(ABS(E252-hdrspace)&lt;(Tolerance*hdrspace),"HdrSpace",(IF(ABS(E252-gap)&lt;(Tolerance*gap),"Gap",IF(ISNUMBER(SEARCH("BitMark",F253)),IF(ABS(E252-zerospace)&lt;(Tolerance*zerospace),1,0),"BitMark")))))</f>
        <v>BitMark</v>
      </c>
    </row>
    <row r="253" spans="2:6" x14ac:dyDescent="0.25">
      <c r="B253" s="5" t="s">
        <v>256</v>
      </c>
      <c r="C253" s="3">
        <v>442</v>
      </c>
      <c r="D253" s="3">
        <v>221</v>
      </c>
      <c r="E253" s="3">
        <f t="shared" si="3"/>
        <v>442</v>
      </c>
      <c r="F253" s="3" cm="1">
        <f t="array" ref="F253">IF(ABS(E253-hdrmark)&lt;(Tolerance*hdrmark),"HdrMark",IF(ABS(E253-hdrspace)&lt;(Tolerance*hdrspace),"HdrSpace",(IF(ABS(E253-gap)&lt;(Tolerance*gap),"Gap",IF(ISNUMBER(SEARCH("BitMark",F254)),IF(ABS(E253-zerospace)&lt;(Tolerance*zerospace),1,0),"BitMark")))))</f>
        <v>0</v>
      </c>
    </row>
    <row r="254" spans="2:6" ht="15" customHeight="1" x14ac:dyDescent="0.25">
      <c r="B254" s="5" t="s">
        <v>257</v>
      </c>
      <c r="C254" s="3">
        <v>1282</v>
      </c>
      <c r="D254" s="3">
        <v>644</v>
      </c>
      <c r="E254" s="3">
        <f t="shared" si="3"/>
        <v>1288</v>
      </c>
      <c r="F254" s="3" t="str" cm="1">
        <f t="array" ref="F254">IF(ABS(E254-hdrmark)&lt;(Tolerance*hdrmark),"HdrMark",IF(ABS(E254-hdrspace)&lt;(Tolerance*hdrspace),"HdrSpace",(IF(ABS(E254-gap)&lt;(Tolerance*gap),"Gap",IF(ISNUMBER(SEARCH("BitMark",F255)),IF(ABS(E254-zerospace)&lt;(Tolerance*zerospace),1,0),"BitMark")))))</f>
        <v>BitMark</v>
      </c>
    </row>
    <row r="255" spans="2:6" x14ac:dyDescent="0.25">
      <c r="B255" s="5" t="s">
        <v>258</v>
      </c>
      <c r="C255" s="3">
        <v>442</v>
      </c>
      <c r="D255" s="3">
        <v>221</v>
      </c>
      <c r="E255" s="3">
        <f t="shared" si="3"/>
        <v>442</v>
      </c>
      <c r="F255" s="3" cm="1">
        <f t="array" ref="F255">IF(ABS(E255-hdrmark)&lt;(Tolerance*hdrmark),"HdrMark",IF(ABS(E255-hdrspace)&lt;(Tolerance*hdrspace),"HdrSpace",(IF(ABS(E255-gap)&lt;(Tolerance*gap),"Gap",IF(ISNUMBER(SEARCH("BitMark",F256)),IF(ABS(E255-zerospace)&lt;(Tolerance*zerospace),1,0),"BitMark")))))</f>
        <v>0</v>
      </c>
    </row>
    <row r="256" spans="2:6" ht="15" customHeight="1" x14ac:dyDescent="0.25">
      <c r="B256" s="5" t="s">
        <v>259</v>
      </c>
      <c r="C256" s="3">
        <v>422</v>
      </c>
      <c r="D256" s="3">
        <v>209</v>
      </c>
      <c r="E256" s="3">
        <f t="shared" si="3"/>
        <v>418</v>
      </c>
      <c r="F256" s="3" t="str" cm="1">
        <f t="array" ref="F256">IF(ABS(E256-hdrmark)&lt;(Tolerance*hdrmark),"HdrMark",IF(ABS(E256-hdrspace)&lt;(Tolerance*hdrspace),"HdrSpace",(IF(ABS(E256-gap)&lt;(Tolerance*gap),"Gap",IF(ISNUMBER(SEARCH("BitMark",F257)),IF(ABS(E256-zerospace)&lt;(Tolerance*zerospace),1,0),"BitMark")))))</f>
        <v>BitMark</v>
      </c>
    </row>
    <row r="257" spans="2:6" x14ac:dyDescent="0.25">
      <c r="B257" s="5" t="s">
        <v>260</v>
      </c>
      <c r="C257" s="3">
        <v>444</v>
      </c>
      <c r="D257" s="3">
        <v>212</v>
      </c>
      <c r="E257" s="3">
        <f t="shared" si="3"/>
        <v>424</v>
      </c>
      <c r="F257" s="3" cm="1">
        <f t="array" ref="F257">IF(ABS(E257-hdrmark)&lt;(Tolerance*hdrmark),"HdrMark",IF(ABS(E257-hdrspace)&lt;(Tolerance*hdrspace),"HdrSpace",(IF(ABS(E257-gap)&lt;(Tolerance*gap),"Gap",IF(ISNUMBER(SEARCH("BitMark",F258)),IF(ABS(E257-zerospace)&lt;(Tolerance*zerospace),1,0),"BitMark")))))</f>
        <v>0</v>
      </c>
    </row>
    <row r="258" spans="2:6" ht="15" customHeight="1" x14ac:dyDescent="0.25">
      <c r="B258" s="5" t="s">
        <v>261</v>
      </c>
      <c r="C258" s="3">
        <v>416</v>
      </c>
      <c r="D258" s="3">
        <v>223</v>
      </c>
      <c r="E258" s="3">
        <f t="shared" si="3"/>
        <v>446</v>
      </c>
      <c r="F258" s="3" t="str" cm="1">
        <f t="array" ref="F258">IF(ABS(E258-hdrmark)&lt;(Tolerance*hdrmark),"HdrMark",IF(ABS(E258-hdrspace)&lt;(Tolerance*hdrspace),"HdrSpace",(IF(ABS(E258-gap)&lt;(Tolerance*gap),"Gap",IF(ISNUMBER(SEARCH("BitMark",F259)),IF(ABS(E258-zerospace)&lt;(Tolerance*zerospace),1,0),"BitMark")))))</f>
        <v>BitMark</v>
      </c>
    </row>
    <row r="259" spans="2:6" x14ac:dyDescent="0.25">
      <c r="B259" s="5" t="s">
        <v>262</v>
      </c>
      <c r="C259" s="3">
        <v>440</v>
      </c>
      <c r="D259" s="3">
        <v>207</v>
      </c>
      <c r="E259" s="3">
        <f t="shared" si="3"/>
        <v>414</v>
      </c>
      <c r="F259" s="3" cm="1">
        <f t="array" ref="F259">IF(ABS(E259-hdrmark)&lt;(Tolerance*hdrmark),"HdrMark",IF(ABS(E259-hdrspace)&lt;(Tolerance*hdrspace),"HdrSpace",(IF(ABS(E259-gap)&lt;(Tolerance*gap),"Gap",IF(ISNUMBER(SEARCH("BitMark",F260)),IF(ABS(E259-zerospace)&lt;(Tolerance*zerospace),1,0),"BitMark")))))</f>
        <v>0</v>
      </c>
    </row>
    <row r="260" spans="2:6" ht="15" customHeight="1" x14ac:dyDescent="0.25">
      <c r="B260" s="5" t="s">
        <v>263</v>
      </c>
      <c r="C260" s="3">
        <v>422</v>
      </c>
      <c r="D260" s="3">
        <v>222</v>
      </c>
      <c r="E260" s="3">
        <f t="shared" si="3"/>
        <v>444</v>
      </c>
      <c r="F260" s="3" t="str" cm="1">
        <f t="array" ref="F260">IF(ABS(E260-hdrmark)&lt;(Tolerance*hdrmark),"HdrMark",IF(ABS(E260-hdrspace)&lt;(Tolerance*hdrspace),"HdrSpace",(IF(ABS(E260-gap)&lt;(Tolerance*gap),"Gap",IF(ISNUMBER(SEARCH("BitMark",F261)),IF(ABS(E260-zerospace)&lt;(Tolerance*zerospace),1,0),"BitMark")))))</f>
        <v>BitMark</v>
      </c>
    </row>
    <row r="261" spans="2:6" x14ac:dyDescent="0.25">
      <c r="B261" s="5" t="s">
        <v>264</v>
      </c>
      <c r="C261" s="3">
        <v>444</v>
      </c>
      <c r="D261" s="3">
        <v>213</v>
      </c>
      <c r="E261" s="3">
        <f t="shared" si="3"/>
        <v>426</v>
      </c>
      <c r="F261" s="3" cm="1">
        <f t="array" ref="F261">IF(ABS(E261-hdrmark)&lt;(Tolerance*hdrmark),"HdrMark",IF(ABS(E261-hdrspace)&lt;(Tolerance*hdrspace),"HdrSpace",(IF(ABS(E261-gap)&lt;(Tolerance*gap),"Gap",IF(ISNUMBER(SEARCH("BitMark",F262)),IF(ABS(E261-zerospace)&lt;(Tolerance*zerospace),1,0),"BitMark")))))</f>
        <v>0</v>
      </c>
    </row>
    <row r="262" spans="2:6" ht="15" customHeight="1" x14ac:dyDescent="0.25">
      <c r="B262" s="5" t="s">
        <v>265</v>
      </c>
      <c r="C262" s="3">
        <v>418</v>
      </c>
      <c r="D262" s="3">
        <v>222</v>
      </c>
      <c r="E262" s="3">
        <f t="shared" si="3"/>
        <v>444</v>
      </c>
      <c r="F262" s="3" t="str" cm="1">
        <f t="array" ref="F262">IF(ABS(E262-hdrmark)&lt;(Tolerance*hdrmark),"HdrMark",IF(ABS(E262-hdrspace)&lt;(Tolerance*hdrspace),"HdrSpace",(IF(ABS(E262-gap)&lt;(Tolerance*gap),"Gap",IF(ISNUMBER(SEARCH("BitMark",F263)),IF(ABS(E262-zerospace)&lt;(Tolerance*zerospace),1,0),"BitMark")))))</f>
        <v>BitMark</v>
      </c>
    </row>
    <row r="263" spans="2:6" x14ac:dyDescent="0.25">
      <c r="B263" s="5" t="s">
        <v>266</v>
      </c>
      <c r="C263" s="3">
        <v>448</v>
      </c>
      <c r="D263" s="3">
        <v>213</v>
      </c>
      <c r="E263" s="3">
        <f t="shared" si="3"/>
        <v>426</v>
      </c>
      <c r="F263" s="3" cm="1">
        <f t="array" ref="F263">IF(ABS(E263-hdrmark)&lt;(Tolerance*hdrmark),"HdrMark",IF(ABS(E263-hdrspace)&lt;(Tolerance*hdrspace),"HdrSpace",(IF(ABS(E263-gap)&lt;(Tolerance*gap),"Gap",IF(ISNUMBER(SEARCH("BitMark",F264)),IF(ABS(E263-zerospace)&lt;(Tolerance*zerospace),1,0),"BitMark")))))</f>
        <v>0</v>
      </c>
    </row>
    <row r="264" spans="2:6" ht="15" customHeight="1" x14ac:dyDescent="0.25">
      <c r="B264" s="5" t="s">
        <v>267</v>
      </c>
      <c r="C264" s="3">
        <v>414</v>
      </c>
      <c r="D264" s="3">
        <v>221</v>
      </c>
      <c r="E264" s="3">
        <f t="shared" si="3"/>
        <v>442</v>
      </c>
      <c r="F264" s="3" t="str" cm="1">
        <f t="array" ref="F264">IF(ABS(E264-hdrmark)&lt;(Tolerance*hdrmark),"HdrMark",IF(ABS(E264-hdrspace)&lt;(Tolerance*hdrspace),"HdrSpace",(IF(ABS(E264-gap)&lt;(Tolerance*gap),"Gap",IF(ISNUMBER(SEARCH("BitMark",F265)),IF(ABS(E264-zerospace)&lt;(Tolerance*zerospace),1,0),"BitMark")))))</f>
        <v>BitMark</v>
      </c>
    </row>
    <row r="265" spans="2:6" x14ac:dyDescent="0.25">
      <c r="B265" s="5" t="s">
        <v>268</v>
      </c>
      <c r="C265" s="3">
        <v>442</v>
      </c>
      <c r="D265" s="3">
        <v>209</v>
      </c>
      <c r="E265" s="3">
        <f t="shared" si="3"/>
        <v>418</v>
      </c>
      <c r="F265" s="3" cm="1">
        <f t="array" ref="F265">IF(ABS(E265-hdrmark)&lt;(Tolerance*hdrmark),"HdrMark",IF(ABS(E265-hdrspace)&lt;(Tolerance*hdrspace),"HdrSpace",(IF(ABS(E265-gap)&lt;(Tolerance*gap),"Gap",IF(ISNUMBER(SEARCH("BitMark",F266)),IF(ABS(E265-zerospace)&lt;(Tolerance*zerospace),1,0),"BitMark")))))</f>
        <v>0</v>
      </c>
    </row>
    <row r="266" spans="2:6" ht="15" customHeight="1" x14ac:dyDescent="0.25">
      <c r="B266" s="5" t="s">
        <v>269</v>
      </c>
      <c r="C266" s="3">
        <v>418</v>
      </c>
      <c r="D266" s="3">
        <v>220</v>
      </c>
      <c r="E266" s="3">
        <f t="shared" si="3"/>
        <v>440</v>
      </c>
      <c r="F266" s="3" t="str" cm="1">
        <f t="array" ref="F266">IF(ABS(E266-hdrmark)&lt;(Tolerance*hdrmark),"HdrMark",IF(ABS(E266-hdrspace)&lt;(Tolerance*hdrspace),"HdrSpace",(IF(ABS(E266-gap)&lt;(Tolerance*gap),"Gap",IF(ISNUMBER(SEARCH("BitMark",F267)),IF(ABS(E266-zerospace)&lt;(Tolerance*zerospace),1,0),"BitMark")))))</f>
        <v>BitMark</v>
      </c>
    </row>
    <row r="267" spans="2:6" x14ac:dyDescent="0.25">
      <c r="B267" s="5" t="s">
        <v>270</v>
      </c>
      <c r="C267" s="3">
        <v>448</v>
      </c>
      <c r="D267" s="3">
        <v>214</v>
      </c>
      <c r="E267" s="3">
        <f t="shared" si="3"/>
        <v>428</v>
      </c>
      <c r="F267" s="3" cm="1">
        <f t="array" ref="F267">IF(ABS(E267-hdrmark)&lt;(Tolerance*hdrmark),"HdrMark",IF(ABS(E267-hdrspace)&lt;(Tolerance*hdrspace),"HdrSpace",(IF(ABS(E267-gap)&lt;(Tolerance*gap),"Gap",IF(ISNUMBER(SEARCH("BitMark",F268)),IF(ABS(E267-zerospace)&lt;(Tolerance*zerospace),1,0),"BitMark")))))</f>
        <v>0</v>
      </c>
    </row>
    <row r="268" spans="2:6" ht="15" customHeight="1" x14ac:dyDescent="0.25">
      <c r="B268" s="5" t="s">
        <v>271</v>
      </c>
      <c r="C268" s="3">
        <v>414</v>
      </c>
      <c r="D268" s="3">
        <v>220</v>
      </c>
      <c r="E268" s="3">
        <f t="shared" ref="E268:E331" si="4">D268*2</f>
        <v>440</v>
      </c>
      <c r="F268" s="3" t="str" cm="1">
        <f t="array" ref="F268">IF(ABS(E268-hdrmark)&lt;(Tolerance*hdrmark),"HdrMark",IF(ABS(E268-hdrspace)&lt;(Tolerance*hdrspace),"HdrSpace",(IF(ABS(E268-gap)&lt;(Tolerance*gap),"Gap",IF(ISNUMBER(SEARCH("BitMark",F269)),IF(ABS(E268-zerospace)&lt;(Tolerance*zerospace),1,0),"BitMark")))))</f>
        <v>BitMark</v>
      </c>
    </row>
    <row r="269" spans="2:6" x14ac:dyDescent="0.25">
      <c r="B269" s="5" t="s">
        <v>272</v>
      </c>
      <c r="C269" s="3">
        <v>442</v>
      </c>
      <c r="D269" s="3">
        <v>210</v>
      </c>
      <c r="E269" s="3">
        <f t="shared" si="4"/>
        <v>420</v>
      </c>
      <c r="F269" s="3" cm="1">
        <f t="array" ref="F269">IF(ABS(E269-hdrmark)&lt;(Tolerance*hdrmark),"HdrMark",IF(ABS(E269-hdrspace)&lt;(Tolerance*hdrspace),"HdrSpace",(IF(ABS(E269-gap)&lt;(Tolerance*gap),"Gap",IF(ISNUMBER(SEARCH("BitMark",F270)),IF(ABS(E269-zerospace)&lt;(Tolerance*zerospace),1,0),"BitMark")))))</f>
        <v>0</v>
      </c>
    </row>
    <row r="270" spans="2:6" ht="15" customHeight="1" x14ac:dyDescent="0.25">
      <c r="B270" s="5" t="s">
        <v>273</v>
      </c>
      <c r="C270" s="3">
        <v>424</v>
      </c>
      <c r="D270" s="3">
        <v>225</v>
      </c>
      <c r="E270" s="3">
        <f t="shared" si="4"/>
        <v>450</v>
      </c>
      <c r="F270" s="3" t="str" cm="1">
        <f t="array" ref="F270">IF(ABS(E270-hdrmark)&lt;(Tolerance*hdrmark),"HdrMark",IF(ABS(E270-hdrspace)&lt;(Tolerance*hdrspace),"HdrSpace",(IF(ABS(E270-gap)&lt;(Tolerance*gap),"Gap",IF(ISNUMBER(SEARCH("BitMark",F271)),IF(ABS(E270-zerospace)&lt;(Tolerance*zerospace),1,0),"BitMark")))))</f>
        <v>BitMark</v>
      </c>
    </row>
    <row r="271" spans="2:6" x14ac:dyDescent="0.25">
      <c r="B271" s="5" t="s">
        <v>274</v>
      </c>
      <c r="C271" s="3">
        <v>442</v>
      </c>
      <c r="D271" s="3">
        <v>210</v>
      </c>
      <c r="E271" s="3">
        <f t="shared" si="4"/>
        <v>420</v>
      </c>
      <c r="F271" s="3" cm="1">
        <f t="array" ref="F271">IF(ABS(E271-hdrmark)&lt;(Tolerance*hdrmark),"HdrMark",IF(ABS(E271-hdrspace)&lt;(Tolerance*hdrspace),"HdrSpace",(IF(ABS(E271-gap)&lt;(Tolerance*gap),"Gap",IF(ISNUMBER(SEARCH("BitMark",F272)),IF(ABS(E271-zerospace)&lt;(Tolerance*zerospace),1,0),"BitMark")))))</f>
        <v>0</v>
      </c>
    </row>
    <row r="272" spans="2:6" ht="15" customHeight="1" x14ac:dyDescent="0.25">
      <c r="B272" s="5" t="s">
        <v>275</v>
      </c>
      <c r="C272" s="3">
        <v>416</v>
      </c>
      <c r="D272" s="3">
        <v>224</v>
      </c>
      <c r="E272" s="3">
        <f t="shared" si="4"/>
        <v>448</v>
      </c>
      <c r="F272" s="3" t="str" cm="1">
        <f t="array" ref="F272">IF(ABS(E272-hdrmark)&lt;(Tolerance*hdrmark),"HdrMark",IF(ABS(E272-hdrspace)&lt;(Tolerance*hdrspace),"HdrSpace",(IF(ABS(E272-gap)&lt;(Tolerance*gap),"Gap",IF(ISNUMBER(SEARCH("BitMark",F273)),IF(ABS(E272-zerospace)&lt;(Tolerance*zerospace),1,0),"BitMark")))))</f>
        <v>BitMark</v>
      </c>
    </row>
    <row r="273" spans="2:6" x14ac:dyDescent="0.25">
      <c r="B273" s="5" t="s">
        <v>276</v>
      </c>
      <c r="C273" s="3">
        <v>438</v>
      </c>
      <c r="D273" s="3">
        <v>204</v>
      </c>
      <c r="E273" s="3">
        <f t="shared" si="4"/>
        <v>408</v>
      </c>
      <c r="F273" s="3" cm="1">
        <f t="array" ref="F273">IF(ABS(E273-hdrmark)&lt;(Tolerance*hdrmark),"HdrMark",IF(ABS(E273-hdrspace)&lt;(Tolerance*hdrspace),"HdrSpace",(IF(ABS(E273-gap)&lt;(Tolerance*gap),"Gap",IF(ISNUMBER(SEARCH("BitMark",F274)),IF(ABS(E273-zerospace)&lt;(Tolerance*zerospace),1,0),"BitMark")))))</f>
        <v>0</v>
      </c>
    </row>
    <row r="274" spans="2:6" ht="15" customHeight="1" x14ac:dyDescent="0.25">
      <c r="B274" s="5" t="s">
        <v>277</v>
      </c>
      <c r="C274" s="3">
        <v>422</v>
      </c>
      <c r="D274" s="3">
        <v>230</v>
      </c>
      <c r="E274" s="3">
        <f t="shared" si="4"/>
        <v>460</v>
      </c>
      <c r="F274" s="3" t="str" cm="1">
        <f t="array" ref="F274">IF(ABS(E274-hdrmark)&lt;(Tolerance*hdrmark),"HdrMark",IF(ABS(E274-hdrspace)&lt;(Tolerance*hdrspace),"HdrSpace",(IF(ABS(E274-gap)&lt;(Tolerance*gap),"Gap",IF(ISNUMBER(SEARCH("BitMark",F275)),IF(ABS(E274-zerospace)&lt;(Tolerance*zerospace),1,0),"BitMark")))))</f>
        <v>BitMark</v>
      </c>
    </row>
    <row r="275" spans="2:6" x14ac:dyDescent="0.25">
      <c r="B275" s="5" t="s">
        <v>278</v>
      </c>
      <c r="C275" s="3">
        <v>444</v>
      </c>
      <c r="D275" s="3">
        <v>216</v>
      </c>
      <c r="E275" s="3">
        <f t="shared" si="4"/>
        <v>432</v>
      </c>
      <c r="F275" s="3" cm="1">
        <f t="array" ref="F275">IF(ABS(E275-hdrmark)&lt;(Tolerance*hdrmark),"HdrMark",IF(ABS(E275-hdrspace)&lt;(Tolerance*hdrspace),"HdrSpace",(IF(ABS(E275-gap)&lt;(Tolerance*gap),"Gap",IF(ISNUMBER(SEARCH("BitMark",F276)),IF(ABS(E275-zerospace)&lt;(Tolerance*zerospace),1,0),"BitMark")))))</f>
        <v>0</v>
      </c>
    </row>
    <row r="276" spans="2:6" ht="15" customHeight="1" x14ac:dyDescent="0.25">
      <c r="B276" s="5" t="s">
        <v>279</v>
      </c>
      <c r="C276" s="3">
        <v>418</v>
      </c>
      <c r="D276" s="3">
        <v>209</v>
      </c>
      <c r="E276" s="3">
        <f t="shared" si="4"/>
        <v>418</v>
      </c>
      <c r="F276" s="3" t="str" cm="1">
        <f t="array" ref="F276">IF(ABS(E276-hdrmark)&lt;(Tolerance*hdrmark),"HdrMark",IF(ABS(E276-hdrspace)&lt;(Tolerance*hdrspace),"HdrSpace",(IF(ABS(E276-gap)&lt;(Tolerance*gap),"Gap",IF(ISNUMBER(SEARCH("BitMark",F277)),IF(ABS(E276-zerospace)&lt;(Tolerance*zerospace),1,0),"BitMark")))))</f>
        <v>BitMark</v>
      </c>
    </row>
    <row r="277" spans="2:6" x14ac:dyDescent="0.25">
      <c r="B277" s="5" t="s">
        <v>280</v>
      </c>
      <c r="C277" s="3">
        <v>448</v>
      </c>
      <c r="D277" s="3">
        <v>218</v>
      </c>
      <c r="E277" s="3">
        <f t="shared" si="4"/>
        <v>436</v>
      </c>
      <c r="F277" s="3" cm="1">
        <f t="array" ref="F277">IF(ABS(E277-hdrmark)&lt;(Tolerance*hdrmark),"HdrMark",IF(ABS(E277-hdrspace)&lt;(Tolerance*hdrspace),"HdrSpace",(IF(ABS(E277-gap)&lt;(Tolerance*gap),"Gap",IF(ISNUMBER(SEARCH("BitMark",F278)),IF(ABS(E277-zerospace)&lt;(Tolerance*zerospace),1,0),"BitMark")))))</f>
        <v>0</v>
      </c>
    </row>
    <row r="278" spans="2:6" ht="15" customHeight="1" x14ac:dyDescent="0.25">
      <c r="B278" s="5" t="s">
        <v>281</v>
      </c>
      <c r="C278" s="3">
        <v>414</v>
      </c>
      <c r="D278" s="3">
        <v>222</v>
      </c>
      <c r="E278" s="3">
        <f t="shared" si="4"/>
        <v>444</v>
      </c>
      <c r="F278" s="3" t="str" cm="1">
        <f t="array" ref="F278">IF(ABS(E278-hdrmark)&lt;(Tolerance*hdrmark),"HdrMark",IF(ABS(E278-hdrspace)&lt;(Tolerance*hdrspace),"HdrSpace",(IF(ABS(E278-gap)&lt;(Tolerance*gap),"Gap",IF(ISNUMBER(SEARCH("BitMark",F279)),IF(ABS(E278-zerospace)&lt;(Tolerance*zerospace),1,0),"BitMark")))))</f>
        <v>BitMark</v>
      </c>
    </row>
    <row r="279" spans="2:6" x14ac:dyDescent="0.25">
      <c r="B279" s="5" t="s">
        <v>282</v>
      </c>
      <c r="C279" s="3">
        <v>442</v>
      </c>
      <c r="D279" s="3">
        <v>209</v>
      </c>
      <c r="E279" s="3">
        <f t="shared" si="4"/>
        <v>418</v>
      </c>
      <c r="F279" s="3" cm="1">
        <f t="array" ref="F279">IF(ABS(E279-hdrmark)&lt;(Tolerance*hdrmark),"HdrMark",IF(ABS(E279-hdrspace)&lt;(Tolerance*hdrspace),"HdrSpace",(IF(ABS(E279-gap)&lt;(Tolerance*gap),"Gap",IF(ISNUMBER(SEARCH("BitMark",F280)),IF(ABS(E279-zerospace)&lt;(Tolerance*zerospace),1,0),"BitMark")))))</f>
        <v>0</v>
      </c>
    </row>
    <row r="280" spans="2:6" ht="15" customHeight="1" x14ac:dyDescent="0.25">
      <c r="B280" s="5" t="s">
        <v>283</v>
      </c>
      <c r="C280" s="3">
        <v>420</v>
      </c>
      <c r="D280" s="3">
        <v>215</v>
      </c>
      <c r="E280" s="3">
        <f t="shared" si="4"/>
        <v>430</v>
      </c>
      <c r="F280" s="3" t="str" cm="1">
        <f t="array" ref="F280">IF(ABS(E280-hdrmark)&lt;(Tolerance*hdrmark),"HdrMark",IF(ABS(E280-hdrspace)&lt;(Tolerance*hdrspace),"HdrSpace",(IF(ABS(E280-gap)&lt;(Tolerance*gap),"Gap",IF(ISNUMBER(SEARCH("BitMark",F281)),IF(ABS(E280-zerospace)&lt;(Tolerance*zerospace),1,0),"BitMark")))))</f>
        <v>BitMark</v>
      </c>
    </row>
    <row r="281" spans="2:6" x14ac:dyDescent="0.25">
      <c r="B281" s="5" t="s">
        <v>284</v>
      </c>
      <c r="C281" s="3">
        <v>446</v>
      </c>
      <c r="D281" s="3">
        <v>223</v>
      </c>
      <c r="E281" s="3">
        <f t="shared" si="4"/>
        <v>446</v>
      </c>
      <c r="F281" s="3" cm="1">
        <f t="array" ref="F281">IF(ABS(E281-hdrmark)&lt;(Tolerance*hdrmark),"HdrMark",IF(ABS(E281-hdrspace)&lt;(Tolerance*hdrspace),"HdrSpace",(IF(ABS(E281-gap)&lt;(Tolerance*gap),"Gap",IF(ISNUMBER(SEARCH("BitMark",F282)),IF(ABS(E281-zerospace)&lt;(Tolerance*zerospace),1,0),"BitMark")))))</f>
        <v>0</v>
      </c>
    </row>
    <row r="282" spans="2:6" ht="15" customHeight="1" x14ac:dyDescent="0.25">
      <c r="B282" s="5" t="s">
        <v>285</v>
      </c>
      <c r="C282" s="3">
        <v>416</v>
      </c>
      <c r="D282" s="3">
        <v>217</v>
      </c>
      <c r="E282" s="3">
        <f t="shared" si="4"/>
        <v>434</v>
      </c>
      <c r="F282" s="3" t="str" cm="1">
        <f t="array" ref="F282">IF(ABS(E282-hdrmark)&lt;(Tolerance*hdrmark),"HdrMark",IF(ABS(E282-hdrspace)&lt;(Tolerance*hdrspace),"HdrSpace",(IF(ABS(E282-gap)&lt;(Tolerance*gap),"Gap",IF(ISNUMBER(SEARCH("BitMark",F283)),IF(ABS(E282-zerospace)&lt;(Tolerance*zerospace),1,0),"BitMark")))))</f>
        <v>BitMark</v>
      </c>
    </row>
    <row r="283" spans="2:6" x14ac:dyDescent="0.25">
      <c r="B283" s="5" t="s">
        <v>286</v>
      </c>
      <c r="C283" s="3">
        <v>440</v>
      </c>
      <c r="D283" s="3">
        <v>210</v>
      </c>
      <c r="E283" s="3">
        <f t="shared" si="4"/>
        <v>420</v>
      </c>
      <c r="F283" s="3" cm="1">
        <f t="array" ref="F283">IF(ABS(E283-hdrmark)&lt;(Tolerance*hdrmark),"HdrMark",IF(ABS(E283-hdrspace)&lt;(Tolerance*hdrspace),"HdrSpace",(IF(ABS(E283-gap)&lt;(Tolerance*gap),"Gap",IF(ISNUMBER(SEARCH("BitMark",F284)),IF(ABS(E283-zerospace)&lt;(Tolerance*zerospace),1,0),"BitMark")))))</f>
        <v>0</v>
      </c>
    </row>
    <row r="284" spans="2:6" ht="15" customHeight="1" x14ac:dyDescent="0.25">
      <c r="B284" s="5" t="s">
        <v>287</v>
      </c>
      <c r="C284" s="3">
        <v>422</v>
      </c>
      <c r="D284" s="3">
        <v>225</v>
      </c>
      <c r="E284" s="3">
        <f t="shared" si="4"/>
        <v>450</v>
      </c>
      <c r="F284" s="3" t="str" cm="1">
        <f t="array" ref="F284">IF(ABS(E284-hdrmark)&lt;(Tolerance*hdrmark),"HdrMark",IF(ABS(E284-hdrspace)&lt;(Tolerance*hdrspace),"HdrSpace",(IF(ABS(E284-gap)&lt;(Tolerance*gap),"Gap",IF(ISNUMBER(SEARCH("BitMark",F285)),IF(ABS(E284-zerospace)&lt;(Tolerance*zerospace),1,0),"BitMark")))))</f>
        <v>BitMark</v>
      </c>
    </row>
    <row r="285" spans="2:6" x14ac:dyDescent="0.25">
      <c r="B285" s="5" t="s">
        <v>288</v>
      </c>
      <c r="C285" s="3">
        <v>446</v>
      </c>
      <c r="D285" s="3">
        <v>212</v>
      </c>
      <c r="E285" s="3">
        <f t="shared" si="4"/>
        <v>424</v>
      </c>
      <c r="F285" s="3" cm="1">
        <f t="array" ref="F285">IF(ABS(E285-hdrmark)&lt;(Tolerance*hdrmark),"HdrMark",IF(ABS(E285-hdrspace)&lt;(Tolerance*hdrspace),"HdrSpace",(IF(ABS(E285-gap)&lt;(Tolerance*gap),"Gap",IF(ISNUMBER(SEARCH("BitMark",F286)),IF(ABS(E285-zerospace)&lt;(Tolerance*zerospace),1,0),"BitMark")))))</f>
        <v>0</v>
      </c>
    </row>
    <row r="286" spans="2:6" ht="15" customHeight="1" x14ac:dyDescent="0.25">
      <c r="B286" s="5" t="s">
        <v>289</v>
      </c>
      <c r="C286" s="3">
        <v>1278</v>
      </c>
      <c r="D286" s="3">
        <v>653</v>
      </c>
      <c r="E286" s="3">
        <f t="shared" si="4"/>
        <v>1306</v>
      </c>
      <c r="F286" s="3" t="str" cm="1">
        <f t="array" ref="F286">IF(ABS(E286-hdrmark)&lt;(Tolerance*hdrmark),"HdrMark",IF(ABS(E286-hdrspace)&lt;(Tolerance*hdrspace),"HdrSpace",(IF(ABS(E286-gap)&lt;(Tolerance*gap),"Gap",IF(ISNUMBER(SEARCH("BitMark",F287)),IF(ABS(E286-zerospace)&lt;(Tolerance*zerospace),1,0),"BitMark")))))</f>
        <v>BitMark</v>
      </c>
    </row>
    <row r="287" spans="2:6" x14ac:dyDescent="0.25">
      <c r="B287" s="5" t="s">
        <v>290</v>
      </c>
      <c r="C287" s="3">
        <v>442</v>
      </c>
      <c r="D287" s="3">
        <v>222</v>
      </c>
      <c r="E287" s="3">
        <f t="shared" si="4"/>
        <v>444</v>
      </c>
      <c r="F287" s="3" cm="1">
        <f t="array" ref="F287">IF(ABS(E287-hdrmark)&lt;(Tolerance*hdrmark),"HdrMark",IF(ABS(E287-hdrspace)&lt;(Tolerance*hdrspace),"HdrSpace",(IF(ABS(E287-gap)&lt;(Tolerance*gap),"Gap",IF(ISNUMBER(SEARCH("BitMark",F288)),IF(ABS(E287-zerospace)&lt;(Tolerance*zerospace),1,0),"BitMark")))))</f>
        <v>0</v>
      </c>
    </row>
    <row r="288" spans="2:6" ht="15" customHeight="1" x14ac:dyDescent="0.25">
      <c r="B288" s="5" t="s">
        <v>291</v>
      </c>
      <c r="C288" s="3">
        <v>418</v>
      </c>
      <c r="D288" s="3">
        <v>207</v>
      </c>
      <c r="E288" s="3">
        <f t="shared" si="4"/>
        <v>414</v>
      </c>
      <c r="F288" s="3" t="str" cm="1">
        <f t="array" ref="F288">IF(ABS(E288-hdrmark)&lt;(Tolerance*hdrmark),"HdrMark",IF(ABS(E288-hdrspace)&lt;(Tolerance*hdrspace),"HdrSpace",(IF(ABS(E288-gap)&lt;(Tolerance*gap),"Gap",IF(ISNUMBER(SEARCH("BitMark",F289)),IF(ABS(E288-zerospace)&lt;(Tolerance*zerospace),1,0),"BitMark")))))</f>
        <v>BitMark</v>
      </c>
    </row>
    <row r="289" spans="2:6" x14ac:dyDescent="0.25">
      <c r="B289" s="5" t="s">
        <v>292</v>
      </c>
      <c r="C289" s="3">
        <v>448</v>
      </c>
      <c r="D289" s="3">
        <v>228</v>
      </c>
      <c r="E289" s="3">
        <f t="shared" si="4"/>
        <v>456</v>
      </c>
      <c r="F289" s="3" cm="1">
        <f t="array" ref="F289">IF(ABS(E289-hdrmark)&lt;(Tolerance*hdrmark),"HdrMark",IF(ABS(E289-hdrspace)&lt;(Tolerance*hdrspace),"HdrSpace",(IF(ABS(E289-gap)&lt;(Tolerance*gap),"Gap",IF(ISNUMBER(SEARCH("BitMark",F290)),IF(ABS(E289-zerospace)&lt;(Tolerance*zerospace),1,0),"BitMark")))))</f>
        <v>0</v>
      </c>
    </row>
    <row r="290" spans="2:6" ht="15" customHeight="1" x14ac:dyDescent="0.25">
      <c r="B290" s="5" t="s">
        <v>293</v>
      </c>
      <c r="C290" s="3">
        <v>1278</v>
      </c>
      <c r="D290" s="3">
        <v>642</v>
      </c>
      <c r="E290" s="3">
        <f t="shared" si="4"/>
        <v>1284</v>
      </c>
      <c r="F290" s="3" t="str" cm="1">
        <f t="array" ref="F290">IF(ABS(E290-hdrmark)&lt;(Tolerance*hdrmark),"HdrMark",IF(ABS(E290-hdrspace)&lt;(Tolerance*hdrspace),"HdrSpace",(IF(ABS(E290-gap)&lt;(Tolerance*gap),"Gap",IF(ISNUMBER(SEARCH("BitMark",F291)),IF(ABS(E290-zerospace)&lt;(Tolerance*zerospace),1,0),"BitMark")))))</f>
        <v>BitMark</v>
      </c>
    </row>
    <row r="291" spans="2:6" x14ac:dyDescent="0.25">
      <c r="B291" s="5" t="s">
        <v>294</v>
      </c>
      <c r="C291" s="3">
        <v>446</v>
      </c>
      <c r="D291" s="3">
        <v>223</v>
      </c>
      <c r="E291" s="3">
        <f t="shared" si="4"/>
        <v>446</v>
      </c>
      <c r="F291" s="3" cm="1">
        <f t="array" ref="F291">IF(ABS(E291-hdrmark)&lt;(Tolerance*hdrmark),"HdrMark",IF(ABS(E291-hdrspace)&lt;(Tolerance*hdrspace),"HdrSpace",(IF(ABS(E291-gap)&lt;(Tolerance*gap),"Gap",IF(ISNUMBER(SEARCH("BitMark",F292)),IF(ABS(E291-zerospace)&lt;(Tolerance*zerospace),1,0),"BitMark")))))</f>
        <v>0</v>
      </c>
    </row>
    <row r="292" spans="2:6" ht="15" customHeight="1" x14ac:dyDescent="0.25">
      <c r="B292" s="5" t="s">
        <v>295</v>
      </c>
      <c r="C292" s="3">
        <v>416</v>
      </c>
      <c r="D292" s="3">
        <v>212</v>
      </c>
      <c r="E292" s="3">
        <f t="shared" si="4"/>
        <v>424</v>
      </c>
      <c r="F292" s="3" t="str" cm="1">
        <f t="array" ref="F292">IF(ABS(E292-hdrmark)&lt;(Tolerance*hdrmark),"HdrMark",IF(ABS(E292-hdrspace)&lt;(Tolerance*hdrspace),"HdrSpace",(IF(ABS(E292-gap)&lt;(Tolerance*gap),"Gap",IF(ISNUMBER(SEARCH("BitMark",F293)),IF(ABS(E292-zerospace)&lt;(Tolerance*zerospace),1,0),"BitMark")))))</f>
        <v>BitMark</v>
      </c>
    </row>
    <row r="293" spans="2:6" x14ac:dyDescent="0.25">
      <c r="B293" s="5" t="s">
        <v>296</v>
      </c>
      <c r="C293" s="3">
        <v>440</v>
      </c>
      <c r="D293" s="3">
        <v>205</v>
      </c>
      <c r="E293" s="3">
        <f t="shared" si="4"/>
        <v>410</v>
      </c>
      <c r="F293" s="3" cm="1">
        <f t="array" ref="F293">IF(ABS(E293-hdrmark)&lt;(Tolerance*hdrmark),"HdrMark",IF(ABS(E293-hdrspace)&lt;(Tolerance*hdrspace),"HdrSpace",(IF(ABS(E293-gap)&lt;(Tolerance*gap),"Gap",IF(ISNUMBER(SEARCH("BitMark",F294)),IF(ABS(E293-zerospace)&lt;(Tolerance*zerospace),1,0),"BitMark")))))</f>
        <v>0</v>
      </c>
    </row>
    <row r="294" spans="2:6" ht="15" customHeight="1" x14ac:dyDescent="0.25">
      <c r="B294" s="5" t="s">
        <v>297</v>
      </c>
      <c r="C294" s="3">
        <v>422</v>
      </c>
      <c r="D294" s="3">
        <v>225</v>
      </c>
      <c r="E294" s="3">
        <f t="shared" si="4"/>
        <v>450</v>
      </c>
      <c r="F294" s="3" t="str" cm="1">
        <f t="array" ref="F294">IF(ABS(E294-hdrmark)&lt;(Tolerance*hdrmark),"HdrMark",IF(ABS(E294-hdrspace)&lt;(Tolerance*hdrspace),"HdrSpace",(IF(ABS(E294-gap)&lt;(Tolerance*gap),"Gap",IF(ISNUMBER(SEARCH("BitMark",F295)),IF(ABS(E294-zerospace)&lt;(Tolerance*zerospace),1,0),"BitMark")))))</f>
        <v>BitMark</v>
      </c>
    </row>
    <row r="295" spans="2:6" x14ac:dyDescent="0.25">
      <c r="B295" s="5" t="s">
        <v>298</v>
      </c>
      <c r="C295" s="3">
        <v>444</v>
      </c>
      <c r="D295" s="3">
        <v>213</v>
      </c>
      <c r="E295" s="3">
        <f t="shared" si="4"/>
        <v>426</v>
      </c>
      <c r="F295" s="3" cm="1">
        <f t="array" ref="F295">IF(ABS(E295-hdrmark)&lt;(Tolerance*hdrmark),"HdrMark",IF(ABS(E295-hdrspace)&lt;(Tolerance*hdrspace),"HdrSpace",(IF(ABS(E295-gap)&lt;(Tolerance*gap),"Gap",IF(ISNUMBER(SEARCH("BitMark",F296)),IF(ABS(E295-zerospace)&lt;(Tolerance*zerospace),1,0),"BitMark")))))</f>
        <v>0</v>
      </c>
    </row>
    <row r="296" spans="2:6" ht="15" customHeight="1" x14ac:dyDescent="0.25">
      <c r="B296" s="5" t="s">
        <v>299</v>
      </c>
      <c r="C296" s="3">
        <v>418</v>
      </c>
      <c r="D296" s="3">
        <v>222</v>
      </c>
      <c r="E296" s="3">
        <f t="shared" si="4"/>
        <v>444</v>
      </c>
      <c r="F296" s="3" t="str" cm="1">
        <f t="array" ref="F296">IF(ABS(E296-hdrmark)&lt;(Tolerance*hdrmark),"HdrMark",IF(ABS(E296-hdrspace)&lt;(Tolerance*hdrspace),"HdrSpace",(IF(ABS(E296-gap)&lt;(Tolerance*gap),"Gap",IF(ISNUMBER(SEARCH("BitMark",F297)),IF(ABS(E296-zerospace)&lt;(Tolerance*zerospace),1,0),"BitMark")))))</f>
        <v>BitMark</v>
      </c>
    </row>
    <row r="297" spans="2:6" x14ac:dyDescent="0.25">
      <c r="B297" s="5" t="s">
        <v>300</v>
      </c>
      <c r="C297" s="3">
        <v>448</v>
      </c>
      <c r="D297" s="3">
        <v>211</v>
      </c>
      <c r="E297" s="3">
        <f t="shared" si="4"/>
        <v>422</v>
      </c>
      <c r="F297" s="3" cm="1">
        <f t="array" ref="F297">IF(ABS(E297-hdrmark)&lt;(Tolerance*hdrmark),"HdrMark",IF(ABS(E297-hdrspace)&lt;(Tolerance*hdrspace),"HdrSpace",(IF(ABS(E297-gap)&lt;(Tolerance*gap),"Gap",IF(ISNUMBER(SEARCH("BitMark",F298)),IF(ABS(E297-zerospace)&lt;(Tolerance*zerospace),1,0),"BitMark")))))</f>
        <v>0</v>
      </c>
    </row>
    <row r="298" spans="2:6" ht="15" customHeight="1" x14ac:dyDescent="0.25">
      <c r="B298" s="5" t="s">
        <v>301</v>
      </c>
      <c r="C298" s="3">
        <v>414</v>
      </c>
      <c r="D298" s="3">
        <v>229</v>
      </c>
      <c r="E298" s="3">
        <f t="shared" si="4"/>
        <v>458</v>
      </c>
      <c r="F298" s="3" t="str" cm="1">
        <f t="array" ref="F298">IF(ABS(E298-hdrmark)&lt;(Tolerance*hdrmark),"HdrMark",IF(ABS(E298-hdrspace)&lt;(Tolerance*hdrspace),"HdrSpace",(IF(ABS(E298-gap)&lt;(Tolerance*gap),"Gap",IF(ISNUMBER(SEARCH("BitMark",F299)),IF(ABS(E298-zerospace)&lt;(Tolerance*zerospace),1,0),"BitMark")))))</f>
        <v>BitMark</v>
      </c>
    </row>
    <row r="299" spans="2:6" x14ac:dyDescent="0.25">
      <c r="B299" s="5" t="s">
        <v>302</v>
      </c>
      <c r="C299" s="3">
        <v>442</v>
      </c>
      <c r="D299" s="3">
        <v>203</v>
      </c>
      <c r="E299" s="3">
        <f t="shared" si="4"/>
        <v>406</v>
      </c>
      <c r="F299" s="3" cm="1">
        <f t="array" ref="F299">IF(ABS(E299-hdrmark)&lt;(Tolerance*hdrmark),"HdrMark",IF(ABS(E299-hdrspace)&lt;(Tolerance*hdrspace),"HdrSpace",(IF(ABS(E299-gap)&lt;(Tolerance*gap),"Gap",IF(ISNUMBER(SEARCH("BitMark",F300)),IF(ABS(E299-zerospace)&lt;(Tolerance*zerospace),1,0),"BitMark")))))</f>
        <v>0</v>
      </c>
    </row>
    <row r="300" spans="2:6" ht="15" customHeight="1" x14ac:dyDescent="0.25">
      <c r="B300" s="5" t="s">
        <v>303</v>
      </c>
      <c r="C300" s="3">
        <v>418</v>
      </c>
      <c r="D300" s="3">
        <v>226</v>
      </c>
      <c r="E300" s="3">
        <f t="shared" si="4"/>
        <v>452</v>
      </c>
      <c r="F300" s="3" t="str" cm="1">
        <f t="array" ref="F300">IF(ABS(E300-hdrmark)&lt;(Tolerance*hdrmark),"HdrMark",IF(ABS(E300-hdrspace)&lt;(Tolerance*hdrspace),"HdrSpace",(IF(ABS(E300-gap)&lt;(Tolerance*gap),"Gap",IF(ISNUMBER(SEARCH("BitMark",F301)),IF(ABS(E300-zerospace)&lt;(Tolerance*zerospace),1,0),"BitMark")))))</f>
        <v>BitMark</v>
      </c>
    </row>
    <row r="301" spans="2:6" x14ac:dyDescent="0.25">
      <c r="B301" s="5" t="s">
        <v>304</v>
      </c>
      <c r="C301" s="3">
        <v>448</v>
      </c>
      <c r="D301" s="3">
        <v>209</v>
      </c>
      <c r="E301" s="3">
        <f t="shared" si="4"/>
        <v>418</v>
      </c>
      <c r="F301" s="3" cm="1">
        <f t="array" ref="F301">IF(ABS(E301-hdrmark)&lt;(Tolerance*hdrmark),"HdrMark",IF(ABS(E301-hdrspace)&lt;(Tolerance*hdrspace),"HdrSpace",(IF(ABS(E301-gap)&lt;(Tolerance*gap),"Gap",IF(ISNUMBER(SEARCH("BitMark",F302)),IF(ABS(E301-zerospace)&lt;(Tolerance*zerospace),1,0),"BitMark")))))</f>
        <v>0</v>
      </c>
    </row>
    <row r="302" spans="2:6" ht="15" customHeight="1" x14ac:dyDescent="0.25">
      <c r="B302" s="5" t="s">
        <v>305</v>
      </c>
      <c r="C302" s="3">
        <v>414</v>
      </c>
      <c r="D302" s="3">
        <v>221</v>
      </c>
      <c r="E302" s="3">
        <f t="shared" si="4"/>
        <v>442</v>
      </c>
      <c r="F302" s="3" t="str" cm="1">
        <f t="array" ref="F302">IF(ABS(E302-hdrmark)&lt;(Tolerance*hdrmark),"HdrMark",IF(ABS(E302-hdrspace)&lt;(Tolerance*hdrspace),"HdrSpace",(IF(ABS(E302-gap)&lt;(Tolerance*gap),"Gap",IF(ISNUMBER(SEARCH("BitMark",F303)),IF(ABS(E302-zerospace)&lt;(Tolerance*zerospace),1,0),"BitMark")))))</f>
        <v>BitMark</v>
      </c>
    </row>
    <row r="303" spans="2:6" x14ac:dyDescent="0.25">
      <c r="B303" s="5" t="s">
        <v>306</v>
      </c>
      <c r="C303" s="3">
        <v>442</v>
      </c>
      <c r="D303" s="3">
        <v>210</v>
      </c>
      <c r="E303" s="3">
        <f t="shared" si="4"/>
        <v>420</v>
      </c>
      <c r="F303" s="3" cm="1">
        <f t="array" ref="F303">IF(ABS(E303-hdrmark)&lt;(Tolerance*hdrmark),"HdrMark",IF(ABS(E303-hdrspace)&lt;(Tolerance*hdrspace),"HdrSpace",(IF(ABS(E303-gap)&lt;(Tolerance*gap),"Gap",IF(ISNUMBER(SEARCH("BitMark",F304)),IF(ABS(E303-zerospace)&lt;(Tolerance*zerospace),1,0),"BitMark")))))</f>
        <v>0</v>
      </c>
    </row>
    <row r="304" spans="2:6" ht="15" customHeight="1" x14ac:dyDescent="0.25">
      <c r="B304" s="5" t="s">
        <v>307</v>
      </c>
      <c r="C304" s="3">
        <v>420</v>
      </c>
      <c r="D304" s="3">
        <v>225</v>
      </c>
      <c r="E304" s="3">
        <f t="shared" si="4"/>
        <v>450</v>
      </c>
      <c r="F304" s="3" t="str" cm="1">
        <f t="array" ref="F304">IF(ABS(E304-hdrmark)&lt;(Tolerance*hdrmark),"HdrMark",IF(ABS(E304-hdrspace)&lt;(Tolerance*hdrspace),"HdrSpace",(IF(ABS(E304-gap)&lt;(Tolerance*gap),"Gap",IF(ISNUMBER(SEARCH("BitMark",F305)),IF(ABS(E304-zerospace)&lt;(Tolerance*zerospace),1,0),"BitMark")))))</f>
        <v>BitMark</v>
      </c>
    </row>
    <row r="305" spans="2:6" x14ac:dyDescent="0.25">
      <c r="B305" s="5" t="s">
        <v>308</v>
      </c>
      <c r="C305" s="3">
        <v>446</v>
      </c>
      <c r="D305" s="3">
        <v>210</v>
      </c>
      <c r="E305" s="3">
        <f t="shared" si="4"/>
        <v>420</v>
      </c>
      <c r="F305" s="3" cm="1">
        <f t="array" ref="F305">IF(ABS(E305-hdrmark)&lt;(Tolerance*hdrmark),"HdrMark",IF(ABS(E305-hdrspace)&lt;(Tolerance*hdrspace),"HdrSpace",(IF(ABS(E305-gap)&lt;(Tolerance*gap),"Gap",IF(ISNUMBER(SEARCH("BitMark",F306)),IF(ABS(E305-zerospace)&lt;(Tolerance*zerospace),1,0),"BitMark")))))</f>
        <v>0</v>
      </c>
    </row>
    <row r="306" spans="2:6" ht="15" customHeight="1" x14ac:dyDescent="0.25">
      <c r="B306" s="5" t="s">
        <v>309</v>
      </c>
      <c r="C306" s="3">
        <v>416</v>
      </c>
      <c r="D306" s="3">
        <v>224</v>
      </c>
      <c r="E306" s="3">
        <f t="shared" si="4"/>
        <v>448</v>
      </c>
      <c r="F306" s="3" t="str" cm="1">
        <f t="array" ref="F306">IF(ABS(E306-hdrmark)&lt;(Tolerance*hdrmark),"HdrMark",IF(ABS(E306-hdrspace)&lt;(Tolerance*hdrspace),"HdrSpace",(IF(ABS(E306-gap)&lt;(Tolerance*gap),"Gap",IF(ISNUMBER(SEARCH("BitMark",F307)),IF(ABS(E306-zerospace)&lt;(Tolerance*zerospace),1,0),"BitMark")))))</f>
        <v>BitMark</v>
      </c>
    </row>
    <row r="307" spans="2:6" x14ac:dyDescent="0.25">
      <c r="B307" s="5" t="s">
        <v>310</v>
      </c>
      <c r="C307" s="3">
        <v>440</v>
      </c>
      <c r="D307" s="3">
        <v>205</v>
      </c>
      <c r="E307" s="3">
        <f t="shared" si="4"/>
        <v>410</v>
      </c>
      <c r="F307" s="3" cm="1">
        <f t="array" ref="F307">IF(ABS(E307-hdrmark)&lt;(Tolerance*hdrmark),"HdrMark",IF(ABS(E307-hdrspace)&lt;(Tolerance*hdrspace),"HdrSpace",(IF(ABS(E307-gap)&lt;(Tolerance*gap),"Gap",IF(ISNUMBER(SEARCH("BitMark",F308)),IF(ABS(E307-zerospace)&lt;(Tolerance*zerospace),1,0),"BitMark")))))</f>
        <v>0</v>
      </c>
    </row>
    <row r="308" spans="2:6" ht="15" customHeight="1" x14ac:dyDescent="0.25">
      <c r="B308" s="5" t="s">
        <v>311</v>
      </c>
      <c r="C308" s="3">
        <v>422</v>
      </c>
      <c r="D308" s="3">
        <v>224</v>
      </c>
      <c r="E308" s="3">
        <f t="shared" si="4"/>
        <v>448</v>
      </c>
      <c r="F308" s="3" t="str" cm="1">
        <f t="array" ref="F308">IF(ABS(E308-hdrmark)&lt;(Tolerance*hdrmark),"HdrMark",IF(ABS(E308-hdrspace)&lt;(Tolerance*hdrspace),"HdrSpace",(IF(ABS(E308-gap)&lt;(Tolerance*gap),"Gap",IF(ISNUMBER(SEARCH("BitMark",F309)),IF(ABS(E308-zerospace)&lt;(Tolerance*zerospace),1,0),"BitMark")))))</f>
        <v>BitMark</v>
      </c>
    </row>
    <row r="309" spans="2:6" x14ac:dyDescent="0.25">
      <c r="B309" s="5" t="s">
        <v>312</v>
      </c>
      <c r="C309" s="3">
        <v>444</v>
      </c>
      <c r="D309" s="3">
        <v>212</v>
      </c>
      <c r="E309" s="3">
        <f t="shared" si="4"/>
        <v>424</v>
      </c>
      <c r="F309" s="3" cm="1">
        <f t="array" ref="F309">IF(ABS(E309-hdrmark)&lt;(Tolerance*hdrmark),"HdrMark",IF(ABS(E309-hdrspace)&lt;(Tolerance*hdrspace),"HdrSpace",(IF(ABS(E309-gap)&lt;(Tolerance*gap),"Gap",IF(ISNUMBER(SEARCH("BitMark",F310)),IF(ABS(E309-zerospace)&lt;(Tolerance*zerospace),1,0),"BitMark")))))</f>
        <v>0</v>
      </c>
    </row>
    <row r="310" spans="2:6" ht="15" customHeight="1" x14ac:dyDescent="0.25">
      <c r="B310" s="5" t="s">
        <v>313</v>
      </c>
      <c r="C310" s="3">
        <v>418</v>
      </c>
      <c r="D310" s="3">
        <v>223</v>
      </c>
      <c r="E310" s="3">
        <f t="shared" si="4"/>
        <v>446</v>
      </c>
      <c r="F310" s="3" t="str" cm="1">
        <f t="array" ref="F310">IF(ABS(E310-hdrmark)&lt;(Tolerance*hdrmark),"HdrMark",IF(ABS(E310-hdrspace)&lt;(Tolerance*hdrspace),"HdrSpace",(IF(ABS(E310-gap)&lt;(Tolerance*gap),"Gap",IF(ISNUMBER(SEARCH("BitMark",F311)),IF(ABS(E310-zerospace)&lt;(Tolerance*zerospace),1,0),"BitMark")))))</f>
        <v>BitMark</v>
      </c>
    </row>
    <row r="311" spans="2:6" x14ac:dyDescent="0.25">
      <c r="B311" s="5" t="s">
        <v>314</v>
      </c>
      <c r="C311" s="3">
        <v>448</v>
      </c>
      <c r="D311" s="3">
        <v>214</v>
      </c>
      <c r="E311" s="3">
        <f t="shared" si="4"/>
        <v>428</v>
      </c>
      <c r="F311" s="3" cm="1">
        <f t="array" ref="F311">IF(ABS(E311-hdrmark)&lt;(Tolerance*hdrmark),"HdrMark",IF(ABS(E311-hdrspace)&lt;(Tolerance*hdrspace),"HdrSpace",(IF(ABS(E311-gap)&lt;(Tolerance*gap),"Gap",IF(ISNUMBER(SEARCH("BitMark",F312)),IF(ABS(E311-zerospace)&lt;(Tolerance*zerospace),1,0),"BitMark")))))</f>
        <v>0</v>
      </c>
    </row>
    <row r="312" spans="2:6" ht="15" customHeight="1" x14ac:dyDescent="0.25">
      <c r="B312" s="5" t="s">
        <v>315</v>
      </c>
      <c r="C312" s="3">
        <v>414</v>
      </c>
      <c r="D312" s="3">
        <v>226</v>
      </c>
      <c r="E312" s="3">
        <f t="shared" si="4"/>
        <v>452</v>
      </c>
      <c r="F312" s="3" t="str" cm="1">
        <f t="array" ref="F312">IF(ABS(E312-hdrmark)&lt;(Tolerance*hdrmark),"HdrMark",IF(ABS(E312-hdrspace)&lt;(Tolerance*hdrspace),"HdrSpace",(IF(ABS(E312-gap)&lt;(Tolerance*gap),"Gap",IF(ISNUMBER(SEARCH("BitMark",F313)),IF(ABS(E312-zerospace)&lt;(Tolerance*zerospace),1,0),"BitMark")))))</f>
        <v>BitMark</v>
      </c>
    </row>
    <row r="313" spans="2:6" x14ac:dyDescent="0.25">
      <c r="B313" s="5" t="s">
        <v>316</v>
      </c>
      <c r="C313" s="3">
        <v>442</v>
      </c>
      <c r="D313" s="3">
        <v>204</v>
      </c>
      <c r="E313" s="3">
        <f t="shared" si="4"/>
        <v>408</v>
      </c>
      <c r="F313" s="3" cm="1">
        <f t="array" ref="F313">IF(ABS(E313-hdrmark)&lt;(Tolerance*hdrmark),"HdrMark",IF(ABS(E313-hdrspace)&lt;(Tolerance*hdrspace),"HdrSpace",(IF(ABS(E313-gap)&lt;(Tolerance*gap),"Gap",IF(ISNUMBER(SEARCH("BitMark",F314)),IF(ABS(E313-zerospace)&lt;(Tolerance*zerospace),1,0),"BitMark")))))</f>
        <v>0</v>
      </c>
    </row>
    <row r="314" spans="2:6" ht="15" customHeight="1" x14ac:dyDescent="0.25">
      <c r="B314" s="5" t="s">
        <v>317</v>
      </c>
      <c r="C314" s="3">
        <v>420</v>
      </c>
      <c r="D314" s="3">
        <v>226</v>
      </c>
      <c r="E314" s="3">
        <f t="shared" si="4"/>
        <v>452</v>
      </c>
      <c r="F314" s="3" t="str" cm="1">
        <f t="array" ref="F314">IF(ABS(E314-hdrmark)&lt;(Tolerance*hdrmark),"HdrMark",IF(ABS(E314-hdrspace)&lt;(Tolerance*hdrspace),"HdrSpace",(IF(ABS(E314-gap)&lt;(Tolerance*gap),"Gap",IF(ISNUMBER(SEARCH("BitMark",F315)),IF(ABS(E314-zerospace)&lt;(Tolerance*zerospace),1,0),"BitMark")))))</f>
        <v>BitMark</v>
      </c>
    </row>
    <row r="315" spans="2:6" x14ac:dyDescent="0.25">
      <c r="B315" s="5" t="s">
        <v>318</v>
      </c>
      <c r="C315" s="3">
        <v>446</v>
      </c>
      <c r="D315" s="3">
        <v>209</v>
      </c>
      <c r="E315" s="3">
        <f t="shared" si="4"/>
        <v>418</v>
      </c>
      <c r="F315" s="3" cm="1">
        <f t="array" ref="F315">IF(ABS(E315-hdrmark)&lt;(Tolerance*hdrmark),"HdrMark",IF(ABS(E315-hdrspace)&lt;(Tolerance*hdrspace),"HdrSpace",(IF(ABS(E315-gap)&lt;(Tolerance*gap),"Gap",IF(ISNUMBER(SEARCH("BitMark",F316)),IF(ABS(E315-zerospace)&lt;(Tolerance*zerospace),1,0),"BitMark")))))</f>
        <v>0</v>
      </c>
    </row>
    <row r="316" spans="2:6" ht="15" customHeight="1" x14ac:dyDescent="0.25">
      <c r="B316" s="5" t="s">
        <v>319</v>
      </c>
      <c r="C316" s="3">
        <v>414</v>
      </c>
      <c r="D316" s="3">
        <v>225</v>
      </c>
      <c r="E316" s="3">
        <f t="shared" si="4"/>
        <v>450</v>
      </c>
      <c r="F316" s="3" t="str" cm="1">
        <f t="array" ref="F316">IF(ABS(E316-hdrmark)&lt;(Tolerance*hdrmark),"HdrMark",IF(ABS(E316-hdrspace)&lt;(Tolerance*hdrspace),"HdrSpace",(IF(ABS(E316-gap)&lt;(Tolerance*gap),"Gap",IF(ISNUMBER(SEARCH("BitMark",F317)),IF(ABS(E316-zerospace)&lt;(Tolerance*zerospace),1,0),"BitMark")))))</f>
        <v>BitMark</v>
      </c>
    </row>
    <row r="317" spans="2:6" x14ac:dyDescent="0.25">
      <c r="B317" s="5" t="s">
        <v>320</v>
      </c>
      <c r="C317" s="3">
        <v>440</v>
      </c>
      <c r="D317" s="3">
        <v>203</v>
      </c>
      <c r="E317" s="3">
        <f t="shared" si="4"/>
        <v>406</v>
      </c>
      <c r="F317" s="3" cm="1">
        <f t="array" ref="F317">IF(ABS(E317-hdrmark)&lt;(Tolerance*hdrmark),"HdrMark",IF(ABS(E317-hdrspace)&lt;(Tolerance*hdrspace),"HdrSpace",(IF(ABS(E317-gap)&lt;(Tolerance*gap),"Gap",IF(ISNUMBER(SEARCH("BitMark",F318)),IF(ABS(E317-zerospace)&lt;(Tolerance*zerospace),1,0),"BitMark")))))</f>
        <v>0</v>
      </c>
    </row>
    <row r="318" spans="2:6" ht="15" customHeight="1" x14ac:dyDescent="0.25">
      <c r="B318" s="5" t="s">
        <v>321</v>
      </c>
      <c r="C318" s="3">
        <v>422</v>
      </c>
      <c r="D318" s="3">
        <v>225</v>
      </c>
      <c r="E318" s="3">
        <f t="shared" si="4"/>
        <v>450</v>
      </c>
      <c r="F318" s="3" t="str" cm="1">
        <f t="array" ref="F318">IF(ABS(E318-hdrmark)&lt;(Tolerance*hdrmark),"HdrMark",IF(ABS(E318-hdrspace)&lt;(Tolerance*hdrspace),"HdrSpace",(IF(ABS(E318-gap)&lt;(Tolerance*gap),"Gap",IF(ISNUMBER(SEARCH("BitMark",F319)),IF(ABS(E318-zerospace)&lt;(Tolerance*zerospace),1,0),"BitMark")))))</f>
        <v>BitMark</v>
      </c>
    </row>
    <row r="319" spans="2:6" x14ac:dyDescent="0.25">
      <c r="B319" s="5" t="s">
        <v>322</v>
      </c>
      <c r="C319" s="3">
        <v>446</v>
      </c>
      <c r="D319" s="3">
        <v>212</v>
      </c>
      <c r="E319" s="3">
        <f t="shared" si="4"/>
        <v>424</v>
      </c>
      <c r="F319" s="3" cm="1">
        <f t="array" ref="F319">IF(ABS(E319-hdrmark)&lt;(Tolerance*hdrmark),"HdrMark",IF(ABS(E319-hdrspace)&lt;(Tolerance*hdrspace),"HdrSpace",(IF(ABS(E319-gap)&lt;(Tolerance*gap),"Gap",IF(ISNUMBER(SEARCH("BitMark",F320)),IF(ABS(E319-zerospace)&lt;(Tolerance*zerospace),1,0),"BitMark")))))</f>
        <v>0</v>
      </c>
    </row>
    <row r="320" spans="2:6" ht="15" customHeight="1" x14ac:dyDescent="0.25">
      <c r="B320" s="5" t="s">
        <v>323</v>
      </c>
      <c r="C320" s="3">
        <v>416</v>
      </c>
      <c r="D320" s="3">
        <v>224</v>
      </c>
      <c r="E320" s="3">
        <f t="shared" si="4"/>
        <v>448</v>
      </c>
      <c r="F320" s="3" t="str" cm="1">
        <f t="array" ref="F320">IF(ABS(E320-hdrmark)&lt;(Tolerance*hdrmark),"HdrMark",IF(ABS(E320-hdrspace)&lt;(Tolerance*hdrspace),"HdrSpace",(IF(ABS(E320-gap)&lt;(Tolerance*gap),"Gap",IF(ISNUMBER(SEARCH("BitMark",F321)),IF(ABS(E320-zerospace)&lt;(Tolerance*zerospace),1,0),"BitMark")))))</f>
        <v>BitMark</v>
      </c>
    </row>
    <row r="321" spans="2:6" x14ac:dyDescent="0.25">
      <c r="B321" s="5" t="s">
        <v>324</v>
      </c>
      <c r="C321" s="3">
        <v>438</v>
      </c>
      <c r="D321" s="3">
        <v>204</v>
      </c>
      <c r="E321" s="3">
        <f t="shared" si="4"/>
        <v>408</v>
      </c>
      <c r="F321" s="3" cm="1">
        <f t="array" ref="F321">IF(ABS(E321-hdrmark)&lt;(Tolerance*hdrmark),"HdrMark",IF(ABS(E321-hdrspace)&lt;(Tolerance*hdrspace),"HdrSpace",(IF(ABS(E321-gap)&lt;(Tolerance*gap),"Gap",IF(ISNUMBER(SEARCH("BitMark",F322)),IF(ABS(E321-zerospace)&lt;(Tolerance*zerospace),1,0),"BitMark")))))</f>
        <v>0</v>
      </c>
    </row>
    <row r="322" spans="2:6" ht="15" customHeight="1" x14ac:dyDescent="0.25">
      <c r="B322" s="5" t="s">
        <v>325</v>
      </c>
      <c r="C322" s="3">
        <v>424</v>
      </c>
      <c r="D322" s="3">
        <v>226</v>
      </c>
      <c r="E322" s="3">
        <f t="shared" si="4"/>
        <v>452</v>
      </c>
      <c r="F322" s="3" t="str" cm="1">
        <f t="array" ref="F322">IF(ABS(E322-hdrmark)&lt;(Tolerance*hdrmark),"HdrMark",IF(ABS(E322-hdrspace)&lt;(Tolerance*hdrspace),"HdrSpace",(IF(ABS(E322-gap)&lt;(Tolerance*gap),"Gap",IF(ISNUMBER(SEARCH("BitMark",F323)),IF(ABS(E322-zerospace)&lt;(Tolerance*zerospace),1,0),"BitMark")))))</f>
        <v>BitMark</v>
      </c>
    </row>
    <row r="323" spans="2:6" x14ac:dyDescent="0.25">
      <c r="B323" s="5" t="s">
        <v>326</v>
      </c>
      <c r="C323" s="3">
        <v>442</v>
      </c>
      <c r="D323" s="3">
        <v>210</v>
      </c>
      <c r="E323" s="3">
        <f t="shared" si="4"/>
        <v>420</v>
      </c>
      <c r="F323" s="3" cm="1">
        <f t="array" ref="F323">IF(ABS(E323-hdrmark)&lt;(Tolerance*hdrmark),"HdrMark",IF(ABS(E323-hdrspace)&lt;(Tolerance*hdrspace),"HdrSpace",(IF(ABS(E323-gap)&lt;(Tolerance*gap),"Gap",IF(ISNUMBER(SEARCH("BitMark",F324)),IF(ABS(E323-zerospace)&lt;(Tolerance*zerospace),1,0),"BitMark")))))</f>
        <v>0</v>
      </c>
    </row>
    <row r="324" spans="2:6" ht="15" customHeight="1" x14ac:dyDescent="0.25">
      <c r="B324" s="5" t="s">
        <v>327</v>
      </c>
      <c r="C324" s="3">
        <v>418</v>
      </c>
      <c r="D324" s="3">
        <v>224</v>
      </c>
      <c r="E324" s="3">
        <f t="shared" si="4"/>
        <v>448</v>
      </c>
      <c r="F324" s="3" t="str" cm="1">
        <f t="array" ref="F324">IF(ABS(E324-hdrmark)&lt;(Tolerance*hdrmark),"HdrMark",IF(ABS(E324-hdrspace)&lt;(Tolerance*hdrspace),"HdrSpace",(IF(ABS(E324-gap)&lt;(Tolerance*gap),"Gap",IF(ISNUMBER(SEARCH("BitMark",F325)),IF(ABS(E324-zerospace)&lt;(Tolerance*zerospace),1,0),"BitMark")))))</f>
        <v>BitMark</v>
      </c>
    </row>
    <row r="325" spans="2:6" x14ac:dyDescent="0.25">
      <c r="B325" s="5" t="s">
        <v>328</v>
      </c>
      <c r="C325" s="3">
        <v>448</v>
      </c>
      <c r="D325" s="3">
        <v>211</v>
      </c>
      <c r="E325" s="3">
        <f t="shared" si="4"/>
        <v>422</v>
      </c>
      <c r="F325" s="3" cm="1">
        <f t="array" ref="F325">IF(ABS(E325-hdrmark)&lt;(Tolerance*hdrmark),"HdrMark",IF(ABS(E325-hdrspace)&lt;(Tolerance*hdrspace),"HdrSpace",(IF(ABS(E325-gap)&lt;(Tolerance*gap),"Gap",IF(ISNUMBER(SEARCH("BitMark",F326)),IF(ABS(E325-zerospace)&lt;(Tolerance*zerospace),1,0),"BitMark")))))</f>
        <v>0</v>
      </c>
    </row>
    <row r="326" spans="2:6" ht="15" customHeight="1" x14ac:dyDescent="0.25">
      <c r="B326" s="5" t="s">
        <v>329</v>
      </c>
      <c r="C326" s="3">
        <v>414</v>
      </c>
      <c r="D326" s="3">
        <v>224</v>
      </c>
      <c r="E326" s="3">
        <f t="shared" si="4"/>
        <v>448</v>
      </c>
      <c r="F326" s="3" t="str" cm="1">
        <f t="array" ref="F326">IF(ABS(E326-hdrmark)&lt;(Tolerance*hdrmark),"HdrMark",IF(ABS(E326-hdrspace)&lt;(Tolerance*hdrspace),"HdrSpace",(IF(ABS(E326-gap)&lt;(Tolerance*gap),"Gap",IF(ISNUMBER(SEARCH("BitMark",F327)),IF(ABS(E326-zerospace)&lt;(Tolerance*zerospace),1,0),"BitMark")))))</f>
        <v>BitMark</v>
      </c>
    </row>
    <row r="327" spans="2:6" x14ac:dyDescent="0.25">
      <c r="B327" s="5" t="s">
        <v>330</v>
      </c>
      <c r="C327" s="3">
        <v>442</v>
      </c>
      <c r="D327" s="3">
        <v>206</v>
      </c>
      <c r="E327" s="3">
        <f t="shared" si="4"/>
        <v>412</v>
      </c>
      <c r="F327" s="3" cm="1">
        <f t="array" ref="F327">IF(ABS(E327-hdrmark)&lt;(Tolerance*hdrmark),"HdrMark",IF(ABS(E327-hdrspace)&lt;(Tolerance*hdrspace),"HdrSpace",(IF(ABS(E327-gap)&lt;(Tolerance*gap),"Gap",IF(ISNUMBER(SEARCH("BitMark",F328)),IF(ABS(E327-zerospace)&lt;(Tolerance*zerospace),1,0),"BitMark")))))</f>
        <v>0</v>
      </c>
    </row>
    <row r="328" spans="2:6" ht="15" customHeight="1" x14ac:dyDescent="0.25">
      <c r="B328" s="5" t="s">
        <v>331</v>
      </c>
      <c r="C328" s="3">
        <v>420</v>
      </c>
      <c r="D328" s="3">
        <v>223</v>
      </c>
      <c r="E328" s="3">
        <f t="shared" si="4"/>
        <v>446</v>
      </c>
      <c r="F328" s="3" t="str" cm="1">
        <f t="array" ref="F328">IF(ABS(E328-hdrmark)&lt;(Tolerance*hdrmark),"HdrMark",IF(ABS(E328-hdrspace)&lt;(Tolerance*hdrspace),"HdrSpace",(IF(ABS(E328-gap)&lt;(Tolerance*gap),"Gap",IF(ISNUMBER(SEARCH("BitMark",F329)),IF(ABS(E328-zerospace)&lt;(Tolerance*zerospace),1,0),"BitMark")))))</f>
        <v>BitMark</v>
      </c>
    </row>
    <row r="329" spans="2:6" x14ac:dyDescent="0.25">
      <c r="B329" s="5" t="s">
        <v>332</v>
      </c>
      <c r="C329" s="3">
        <v>446</v>
      </c>
      <c r="D329" s="3">
        <v>212</v>
      </c>
      <c r="E329" s="3">
        <f t="shared" si="4"/>
        <v>424</v>
      </c>
      <c r="F329" s="3" cm="1">
        <f t="array" ref="F329">IF(ABS(E329-hdrmark)&lt;(Tolerance*hdrmark),"HdrMark",IF(ABS(E329-hdrspace)&lt;(Tolerance*hdrspace),"HdrSpace",(IF(ABS(E329-gap)&lt;(Tolerance*gap),"Gap",IF(ISNUMBER(SEARCH("BitMark",F330)),IF(ABS(E329-zerospace)&lt;(Tolerance*zerospace),1,0),"BitMark")))))</f>
        <v>0</v>
      </c>
    </row>
    <row r="330" spans="2:6" ht="15" customHeight="1" x14ac:dyDescent="0.25">
      <c r="B330" s="5" t="s">
        <v>333</v>
      </c>
      <c r="C330" s="3">
        <v>414</v>
      </c>
      <c r="D330" s="3">
        <v>222</v>
      </c>
      <c r="E330" s="3">
        <f t="shared" si="4"/>
        <v>444</v>
      </c>
      <c r="F330" s="3" t="str" cm="1">
        <f t="array" ref="F330">IF(ABS(E330-hdrmark)&lt;(Tolerance*hdrmark),"HdrMark",IF(ABS(E330-hdrspace)&lt;(Tolerance*hdrspace),"HdrSpace",(IF(ABS(E330-gap)&lt;(Tolerance*gap),"Gap",IF(ISNUMBER(SEARCH("BitMark",F331)),IF(ABS(E330-zerospace)&lt;(Tolerance*zerospace),1,0),"BitMark")))))</f>
        <v>BitMark</v>
      </c>
    </row>
    <row r="331" spans="2:6" x14ac:dyDescent="0.25">
      <c r="B331" s="5" t="s">
        <v>334</v>
      </c>
      <c r="C331" s="3">
        <v>442</v>
      </c>
      <c r="D331" s="3">
        <v>207</v>
      </c>
      <c r="E331" s="3">
        <f t="shared" si="4"/>
        <v>414</v>
      </c>
      <c r="F331" s="3" cm="1">
        <f t="array" ref="F331">IF(ABS(E331-hdrmark)&lt;(Tolerance*hdrmark),"HdrMark",IF(ABS(E331-hdrspace)&lt;(Tolerance*hdrspace),"HdrSpace",(IF(ABS(E331-gap)&lt;(Tolerance*gap),"Gap",IF(ISNUMBER(SEARCH("BitMark",F332)),IF(ABS(E331-zerospace)&lt;(Tolerance*zerospace),1,0),"BitMark")))))</f>
        <v>0</v>
      </c>
    </row>
    <row r="332" spans="2:6" ht="15" customHeight="1" x14ac:dyDescent="0.25">
      <c r="B332" s="5" t="s">
        <v>335</v>
      </c>
      <c r="C332" s="3">
        <v>420</v>
      </c>
      <c r="D332" s="3">
        <v>222</v>
      </c>
      <c r="E332" s="3">
        <f t="shared" ref="E332:E395" si="5">D332*2</f>
        <v>444</v>
      </c>
      <c r="F332" s="3" t="str" cm="1">
        <f t="array" ref="F332">IF(ABS(E332-hdrmark)&lt;(Tolerance*hdrmark),"HdrMark",IF(ABS(E332-hdrspace)&lt;(Tolerance*hdrspace),"HdrSpace",(IF(ABS(E332-gap)&lt;(Tolerance*gap),"Gap",IF(ISNUMBER(SEARCH("BitMark",F333)),IF(ABS(E332-zerospace)&lt;(Tolerance*zerospace),1,0),"BitMark")))))</f>
        <v>BitMark</v>
      </c>
    </row>
    <row r="333" spans="2:6" x14ac:dyDescent="0.25">
      <c r="B333" s="5" t="s">
        <v>336</v>
      </c>
      <c r="C333" s="3">
        <v>444</v>
      </c>
      <c r="D333" s="3">
        <v>213</v>
      </c>
      <c r="E333" s="3">
        <f t="shared" si="5"/>
        <v>426</v>
      </c>
      <c r="F333" s="3" cm="1">
        <f t="array" ref="F333">IF(ABS(E333-hdrmark)&lt;(Tolerance*hdrmark),"HdrMark",IF(ABS(E333-hdrspace)&lt;(Tolerance*hdrspace),"HdrSpace",(IF(ABS(E333-gap)&lt;(Tolerance*gap),"Gap",IF(ISNUMBER(SEARCH("BitMark",F334)),IF(ABS(E333-zerospace)&lt;(Tolerance*zerospace),1,0),"BitMark")))))</f>
        <v>0</v>
      </c>
    </row>
    <row r="334" spans="2:6" ht="15" customHeight="1" x14ac:dyDescent="0.25">
      <c r="B334" s="5" t="s">
        <v>337</v>
      </c>
      <c r="C334" s="3">
        <v>418</v>
      </c>
      <c r="D334" s="3">
        <v>222</v>
      </c>
      <c r="E334" s="3">
        <f t="shared" si="5"/>
        <v>444</v>
      </c>
      <c r="F334" s="3" t="str" cm="1">
        <f t="array" ref="F334">IF(ABS(E334-hdrmark)&lt;(Tolerance*hdrmark),"HdrMark",IF(ABS(E334-hdrspace)&lt;(Tolerance*hdrspace),"HdrSpace",(IF(ABS(E334-gap)&lt;(Tolerance*gap),"Gap",IF(ISNUMBER(SEARCH("BitMark",F335)),IF(ABS(E334-zerospace)&lt;(Tolerance*zerospace),1,0),"BitMark")))))</f>
        <v>BitMark</v>
      </c>
    </row>
    <row r="335" spans="2:6" x14ac:dyDescent="0.25">
      <c r="B335" s="5" t="s">
        <v>338</v>
      </c>
      <c r="C335" s="3">
        <v>440</v>
      </c>
      <c r="D335" s="3">
        <v>223</v>
      </c>
      <c r="E335" s="3">
        <f t="shared" si="5"/>
        <v>446</v>
      </c>
      <c r="F335" s="3" cm="1">
        <f t="array" ref="F335">IF(ABS(E335-hdrmark)&lt;(Tolerance*hdrmark),"HdrMark",IF(ABS(E335-hdrspace)&lt;(Tolerance*hdrspace),"HdrSpace",(IF(ABS(E335-gap)&lt;(Tolerance*gap),"Gap",IF(ISNUMBER(SEARCH("BitMark",F336)),IF(ABS(E335-zerospace)&lt;(Tolerance*zerospace),1,0),"BitMark")))))</f>
        <v>0</v>
      </c>
    </row>
    <row r="336" spans="2:6" ht="15" customHeight="1" x14ac:dyDescent="0.25">
      <c r="B336" s="5" t="s">
        <v>339</v>
      </c>
      <c r="C336" s="3">
        <v>422</v>
      </c>
      <c r="D336" s="3">
        <v>206</v>
      </c>
      <c r="E336" s="3">
        <f t="shared" si="5"/>
        <v>412</v>
      </c>
      <c r="F336" s="3" t="str" cm="1">
        <f t="array" ref="F336">IF(ABS(E336-hdrmark)&lt;(Tolerance*hdrmark),"HdrMark",IF(ABS(E336-hdrspace)&lt;(Tolerance*hdrspace),"HdrSpace",(IF(ABS(E336-gap)&lt;(Tolerance*gap),"Gap",IF(ISNUMBER(SEARCH("BitMark",F337)),IF(ABS(E336-zerospace)&lt;(Tolerance*zerospace),1,0),"BitMark")))))</f>
        <v>BitMark</v>
      </c>
    </row>
    <row r="337" spans="2:6" x14ac:dyDescent="0.25">
      <c r="B337" s="5" t="s">
        <v>340</v>
      </c>
      <c r="C337" s="3">
        <v>462</v>
      </c>
      <c r="D337" s="3">
        <v>224</v>
      </c>
      <c r="E337" s="3">
        <f t="shared" si="5"/>
        <v>448</v>
      </c>
      <c r="F337" s="3" cm="1">
        <f t="array" ref="F337">IF(ABS(E337-hdrmark)&lt;(Tolerance*hdrmark),"HdrMark",IF(ABS(E337-hdrspace)&lt;(Tolerance*hdrspace),"HdrSpace",(IF(ABS(E337-gap)&lt;(Tolerance*gap),"Gap",IF(ISNUMBER(SEARCH("BitMark",F338)),IF(ABS(E337-zerospace)&lt;(Tolerance*zerospace),1,0),"BitMark")))))</f>
        <v>0</v>
      </c>
    </row>
    <row r="338" spans="2:6" ht="15" customHeight="1" x14ac:dyDescent="0.25">
      <c r="B338" s="5" t="s">
        <v>341</v>
      </c>
      <c r="C338" s="3">
        <v>398</v>
      </c>
      <c r="D338" s="3">
        <v>211</v>
      </c>
      <c r="E338" s="3">
        <f t="shared" si="5"/>
        <v>422</v>
      </c>
      <c r="F338" s="3" t="str" cm="1">
        <f t="array" ref="F338">IF(ABS(E338-hdrmark)&lt;(Tolerance*hdrmark),"HdrMark",IF(ABS(E338-hdrspace)&lt;(Tolerance*hdrspace),"HdrSpace",(IF(ABS(E338-gap)&lt;(Tolerance*gap),"Gap",IF(ISNUMBER(SEARCH("BitMark",F339)),IF(ABS(E338-zerospace)&lt;(Tolerance*zerospace),1,0),"BitMark")))))</f>
        <v>BitMark</v>
      </c>
    </row>
    <row r="339" spans="2:6" x14ac:dyDescent="0.25">
      <c r="B339" s="5" t="s">
        <v>342</v>
      </c>
      <c r="C339" s="3">
        <v>448</v>
      </c>
      <c r="D339" s="3">
        <v>214</v>
      </c>
      <c r="E339" s="3">
        <f t="shared" si="5"/>
        <v>428</v>
      </c>
      <c r="F339" s="3" cm="1">
        <f t="array" ref="F339">IF(ABS(E339-hdrmark)&lt;(Tolerance*hdrmark),"HdrMark",IF(ABS(E339-hdrspace)&lt;(Tolerance*hdrspace),"HdrSpace",(IF(ABS(E339-gap)&lt;(Tolerance*gap),"Gap",IF(ISNUMBER(SEARCH("BitMark",F340)),IF(ABS(E339-zerospace)&lt;(Tolerance*zerospace),1,0),"BitMark")))))</f>
        <v>0</v>
      </c>
    </row>
    <row r="340" spans="2:6" ht="15" customHeight="1" x14ac:dyDescent="0.25">
      <c r="B340" s="5" t="s">
        <v>343</v>
      </c>
      <c r="C340" s="3">
        <v>414</v>
      </c>
      <c r="D340" s="3">
        <v>220</v>
      </c>
      <c r="E340" s="3">
        <f t="shared" si="5"/>
        <v>440</v>
      </c>
      <c r="F340" s="3" t="str" cm="1">
        <f t="array" ref="F340">IF(ABS(E340-hdrmark)&lt;(Tolerance*hdrmark),"HdrMark",IF(ABS(E340-hdrspace)&lt;(Tolerance*hdrspace),"HdrSpace",(IF(ABS(E340-gap)&lt;(Tolerance*gap),"Gap",IF(ISNUMBER(SEARCH("BitMark",F341)),IF(ABS(E340-zerospace)&lt;(Tolerance*zerospace),1,0),"BitMark")))))</f>
        <v>BitMark</v>
      </c>
    </row>
    <row r="341" spans="2:6" x14ac:dyDescent="0.25">
      <c r="B341" s="5" t="s">
        <v>344</v>
      </c>
      <c r="C341" s="3">
        <v>442</v>
      </c>
      <c r="D341" s="3">
        <v>210</v>
      </c>
      <c r="E341" s="3">
        <f t="shared" si="5"/>
        <v>420</v>
      </c>
      <c r="F341" s="3" cm="1">
        <f t="array" ref="F341">IF(ABS(E341-hdrmark)&lt;(Tolerance*hdrmark),"HdrMark",IF(ABS(E341-hdrspace)&lt;(Tolerance*hdrspace),"HdrSpace",(IF(ABS(E341-gap)&lt;(Tolerance*gap),"Gap",IF(ISNUMBER(SEARCH("BitMark",F342)),IF(ABS(E341-zerospace)&lt;(Tolerance*zerospace),1,0),"BitMark")))))</f>
        <v>0</v>
      </c>
    </row>
    <row r="342" spans="2:6" ht="15" customHeight="1" x14ac:dyDescent="0.25">
      <c r="B342" s="5" t="s">
        <v>345</v>
      </c>
      <c r="C342" s="3">
        <v>420</v>
      </c>
      <c r="D342" s="3">
        <v>225</v>
      </c>
      <c r="E342" s="3">
        <f t="shared" si="5"/>
        <v>450</v>
      </c>
      <c r="F342" s="3" t="str" cm="1">
        <f t="array" ref="F342">IF(ABS(E342-hdrmark)&lt;(Tolerance*hdrmark),"HdrMark",IF(ABS(E342-hdrspace)&lt;(Tolerance*hdrspace),"HdrSpace",(IF(ABS(E342-gap)&lt;(Tolerance*gap),"Gap",IF(ISNUMBER(SEARCH("BitMark",F343)),IF(ABS(E342-zerospace)&lt;(Tolerance*zerospace),1,0),"BitMark")))))</f>
        <v>BitMark</v>
      </c>
    </row>
    <row r="343" spans="2:6" x14ac:dyDescent="0.25">
      <c r="B343" s="5" t="s">
        <v>346</v>
      </c>
      <c r="C343" s="3">
        <v>446</v>
      </c>
      <c r="D343" s="3">
        <v>210</v>
      </c>
      <c r="E343" s="3">
        <f t="shared" si="5"/>
        <v>420</v>
      </c>
      <c r="F343" s="3" cm="1">
        <f t="array" ref="F343">IF(ABS(E343-hdrmark)&lt;(Tolerance*hdrmark),"HdrMark",IF(ABS(E343-hdrspace)&lt;(Tolerance*hdrspace),"HdrSpace",(IF(ABS(E343-gap)&lt;(Tolerance*gap),"Gap",IF(ISNUMBER(SEARCH("BitMark",F344)),IF(ABS(E343-zerospace)&lt;(Tolerance*zerospace),1,0),"BitMark")))))</f>
        <v>0</v>
      </c>
    </row>
    <row r="344" spans="2:6" ht="15" customHeight="1" x14ac:dyDescent="0.25">
      <c r="B344" s="5" t="s">
        <v>347</v>
      </c>
      <c r="C344" s="3">
        <v>416</v>
      </c>
      <c r="D344" s="3">
        <v>224</v>
      </c>
      <c r="E344" s="3">
        <f t="shared" si="5"/>
        <v>448</v>
      </c>
      <c r="F344" s="3" t="str" cm="1">
        <f t="array" ref="F344">IF(ABS(E344-hdrmark)&lt;(Tolerance*hdrmark),"HdrMark",IF(ABS(E344-hdrspace)&lt;(Tolerance*hdrspace),"HdrSpace",(IF(ABS(E344-gap)&lt;(Tolerance*gap),"Gap",IF(ISNUMBER(SEARCH("BitMark",F345)),IF(ABS(E344-zerospace)&lt;(Tolerance*zerospace),1,0),"BitMark")))))</f>
        <v>BitMark</v>
      </c>
    </row>
    <row r="345" spans="2:6" x14ac:dyDescent="0.25">
      <c r="B345" s="5" t="s">
        <v>348</v>
      </c>
      <c r="C345" s="3">
        <v>440</v>
      </c>
      <c r="D345" s="3">
        <v>205</v>
      </c>
      <c r="E345" s="3">
        <f t="shared" si="5"/>
        <v>410</v>
      </c>
      <c r="F345" s="3" cm="1">
        <f t="array" ref="F345">IF(ABS(E345-hdrmark)&lt;(Tolerance*hdrmark),"HdrMark",IF(ABS(E345-hdrspace)&lt;(Tolerance*hdrspace),"HdrSpace",(IF(ABS(E345-gap)&lt;(Tolerance*gap),"Gap",IF(ISNUMBER(SEARCH("BitMark",F346)),IF(ABS(E345-zerospace)&lt;(Tolerance*zerospace),1,0),"BitMark")))))</f>
        <v>0</v>
      </c>
    </row>
    <row r="346" spans="2:6" ht="15" customHeight="1" x14ac:dyDescent="0.25">
      <c r="B346" s="5" t="s">
        <v>349</v>
      </c>
      <c r="C346" s="3">
        <v>422</v>
      </c>
      <c r="D346" s="3">
        <v>225</v>
      </c>
      <c r="E346" s="3">
        <f t="shared" si="5"/>
        <v>450</v>
      </c>
      <c r="F346" s="3" t="str" cm="1">
        <f t="array" ref="F346">IF(ABS(E346-hdrmark)&lt;(Tolerance*hdrmark),"HdrMark",IF(ABS(E346-hdrspace)&lt;(Tolerance*hdrspace),"HdrSpace",(IF(ABS(E346-gap)&lt;(Tolerance*gap),"Gap",IF(ISNUMBER(SEARCH("BitMark",F347)),IF(ABS(E346-zerospace)&lt;(Tolerance*zerospace),1,0),"BitMark")))))</f>
        <v>BitMark</v>
      </c>
    </row>
    <row r="347" spans="2:6" x14ac:dyDescent="0.25">
      <c r="B347" s="5" t="s">
        <v>350</v>
      </c>
      <c r="C347" s="3">
        <v>444</v>
      </c>
      <c r="D347" s="3">
        <v>211</v>
      </c>
      <c r="E347" s="3">
        <f t="shared" si="5"/>
        <v>422</v>
      </c>
      <c r="F347" s="3" cm="1">
        <f t="array" ref="F347">IF(ABS(E347-hdrmark)&lt;(Tolerance*hdrmark),"HdrMark",IF(ABS(E347-hdrspace)&lt;(Tolerance*hdrspace),"HdrSpace",(IF(ABS(E347-gap)&lt;(Tolerance*gap),"Gap",IF(ISNUMBER(SEARCH("BitMark",F348)),IF(ABS(E347-zerospace)&lt;(Tolerance*zerospace),1,0),"BitMark")))))</f>
        <v>0</v>
      </c>
    </row>
    <row r="348" spans="2:6" ht="15" customHeight="1" x14ac:dyDescent="0.25">
      <c r="B348" s="5" t="s">
        <v>351</v>
      </c>
      <c r="C348" s="3">
        <v>418</v>
      </c>
      <c r="D348" s="3">
        <v>224</v>
      </c>
      <c r="E348" s="3">
        <f t="shared" si="5"/>
        <v>448</v>
      </c>
      <c r="F348" s="3" t="str" cm="1">
        <f t="array" ref="F348">IF(ABS(E348-hdrmark)&lt;(Tolerance*hdrmark),"HdrMark",IF(ABS(E348-hdrspace)&lt;(Tolerance*hdrspace),"HdrSpace",(IF(ABS(E348-gap)&lt;(Tolerance*gap),"Gap",IF(ISNUMBER(SEARCH("BitMark",F349)),IF(ABS(E348-zerospace)&lt;(Tolerance*zerospace),1,0),"BitMark")))))</f>
        <v>BitMark</v>
      </c>
    </row>
    <row r="349" spans="2:6" x14ac:dyDescent="0.25">
      <c r="B349" s="5" t="s">
        <v>352</v>
      </c>
      <c r="C349" s="3">
        <v>450</v>
      </c>
      <c r="D349" s="3">
        <v>212</v>
      </c>
      <c r="E349" s="3">
        <f t="shared" si="5"/>
        <v>424</v>
      </c>
      <c r="F349" s="3" cm="1">
        <f t="array" ref="F349">IF(ABS(E349-hdrmark)&lt;(Tolerance*hdrmark),"HdrMark",IF(ABS(E349-hdrspace)&lt;(Tolerance*hdrspace),"HdrSpace",(IF(ABS(E349-gap)&lt;(Tolerance*gap),"Gap",IF(ISNUMBER(SEARCH("BitMark",F350)),IF(ABS(E349-zerospace)&lt;(Tolerance*zerospace),1,0),"BitMark")))))</f>
        <v>0</v>
      </c>
    </row>
    <row r="350" spans="2:6" ht="15" customHeight="1" x14ac:dyDescent="0.25">
      <c r="B350" s="5" t="s">
        <v>353</v>
      </c>
      <c r="C350" s="3">
        <v>412</v>
      </c>
      <c r="D350" s="3">
        <v>223</v>
      </c>
      <c r="E350" s="3">
        <f t="shared" si="5"/>
        <v>446</v>
      </c>
      <c r="F350" s="3" t="str" cm="1">
        <f t="array" ref="F350">IF(ABS(E350-hdrmark)&lt;(Tolerance*hdrmark),"HdrMark",IF(ABS(E350-hdrspace)&lt;(Tolerance*hdrspace),"HdrSpace",(IF(ABS(E350-gap)&lt;(Tolerance*gap),"Gap",IF(ISNUMBER(SEARCH("BitMark",F351)),IF(ABS(E350-zerospace)&lt;(Tolerance*zerospace),1,0),"BitMark")))))</f>
        <v>BitMark</v>
      </c>
    </row>
    <row r="351" spans="2:6" x14ac:dyDescent="0.25">
      <c r="B351" s="5" t="s">
        <v>354</v>
      </c>
      <c r="C351" s="3">
        <v>442</v>
      </c>
      <c r="D351" s="3">
        <v>207</v>
      </c>
      <c r="E351" s="3">
        <f t="shared" si="5"/>
        <v>414</v>
      </c>
      <c r="F351" s="3" cm="1">
        <f t="array" ref="F351">IF(ABS(E351-hdrmark)&lt;(Tolerance*hdrmark),"HdrMark",IF(ABS(E351-hdrspace)&lt;(Tolerance*hdrspace),"HdrSpace",(IF(ABS(E351-gap)&lt;(Tolerance*gap),"Gap",IF(ISNUMBER(SEARCH("BitMark",F352)),IF(ABS(E351-zerospace)&lt;(Tolerance*zerospace),1,0),"BitMark")))))</f>
        <v>0</v>
      </c>
    </row>
    <row r="352" spans="2:6" ht="15" customHeight="1" x14ac:dyDescent="0.25">
      <c r="B352" s="5" t="s">
        <v>355</v>
      </c>
      <c r="C352" s="3">
        <v>420</v>
      </c>
      <c r="D352" s="3">
        <v>223</v>
      </c>
      <c r="E352" s="3">
        <f t="shared" si="5"/>
        <v>446</v>
      </c>
      <c r="F352" s="3" t="str" cm="1">
        <f t="array" ref="F352">IF(ABS(E352-hdrmark)&lt;(Tolerance*hdrmark),"HdrMark",IF(ABS(E352-hdrspace)&lt;(Tolerance*hdrspace),"HdrSpace",(IF(ABS(E352-gap)&lt;(Tolerance*gap),"Gap",IF(ISNUMBER(SEARCH("BitMark",F353)),IF(ABS(E352-zerospace)&lt;(Tolerance*zerospace),1,0),"BitMark")))))</f>
        <v>BitMark</v>
      </c>
    </row>
    <row r="353" spans="2:6" x14ac:dyDescent="0.25">
      <c r="B353" s="5" t="s">
        <v>356</v>
      </c>
      <c r="C353" s="3">
        <v>446</v>
      </c>
      <c r="D353" s="3">
        <v>212</v>
      </c>
      <c r="E353" s="3">
        <f t="shared" si="5"/>
        <v>424</v>
      </c>
      <c r="F353" s="3" cm="1">
        <f t="array" ref="F353">IF(ABS(E353-hdrmark)&lt;(Tolerance*hdrmark),"HdrMark",IF(ABS(E353-hdrspace)&lt;(Tolerance*hdrspace),"HdrSpace",(IF(ABS(E353-gap)&lt;(Tolerance*gap),"Gap",IF(ISNUMBER(SEARCH("BitMark",F354)),IF(ABS(E353-zerospace)&lt;(Tolerance*zerospace),1,0),"BitMark")))))</f>
        <v>0</v>
      </c>
    </row>
    <row r="354" spans="2:6" ht="15" customHeight="1" x14ac:dyDescent="0.25">
      <c r="B354" s="5" t="s">
        <v>357</v>
      </c>
      <c r="C354" s="3">
        <v>414</v>
      </c>
      <c r="D354" s="3">
        <v>222</v>
      </c>
      <c r="E354" s="3">
        <f t="shared" si="5"/>
        <v>444</v>
      </c>
      <c r="F354" s="3" t="str" cm="1">
        <f t="array" ref="F354">IF(ABS(E354-hdrmark)&lt;(Tolerance*hdrmark),"HdrMark",IF(ABS(E354-hdrspace)&lt;(Tolerance*hdrspace),"HdrSpace",(IF(ABS(E354-gap)&lt;(Tolerance*gap),"Gap",IF(ISNUMBER(SEARCH("BitMark",F355)),IF(ABS(E354-zerospace)&lt;(Tolerance*zerospace),1,0),"BitMark")))))</f>
        <v>BitMark</v>
      </c>
    </row>
    <row r="355" spans="2:6" x14ac:dyDescent="0.25">
      <c r="B355" s="5" t="s">
        <v>358</v>
      </c>
      <c r="C355" s="3">
        <v>442</v>
      </c>
      <c r="D355" s="3">
        <v>224</v>
      </c>
      <c r="E355" s="3">
        <f t="shared" si="5"/>
        <v>448</v>
      </c>
      <c r="F355" s="3" cm="1">
        <f t="array" ref="F355">IF(ABS(E355-hdrmark)&lt;(Tolerance*hdrmark),"HdrMark",IF(ABS(E355-hdrspace)&lt;(Tolerance*hdrspace),"HdrSpace",(IF(ABS(E355-gap)&lt;(Tolerance*gap),"Gap",IF(ISNUMBER(SEARCH("BitMark",F356)),IF(ABS(E355-zerospace)&lt;(Tolerance*zerospace),1,0),"BitMark")))))</f>
        <v>0</v>
      </c>
    </row>
    <row r="356" spans="2:6" ht="15" customHeight="1" x14ac:dyDescent="0.25">
      <c r="B356" s="5" t="s">
        <v>359</v>
      </c>
      <c r="C356" s="3">
        <v>420</v>
      </c>
      <c r="D356" s="3">
        <v>211</v>
      </c>
      <c r="E356" s="3">
        <f t="shared" si="5"/>
        <v>422</v>
      </c>
      <c r="F356" s="3" t="str" cm="1">
        <f t="array" ref="F356">IF(ABS(E356-hdrmark)&lt;(Tolerance*hdrmark),"HdrMark",IF(ABS(E356-hdrspace)&lt;(Tolerance*hdrspace),"HdrSpace",(IF(ABS(E356-gap)&lt;(Tolerance*gap),"Gap",IF(ISNUMBER(SEARCH("BitMark",F357)),IF(ABS(E356-zerospace)&lt;(Tolerance*zerospace),1,0),"BitMark")))))</f>
        <v>BitMark</v>
      </c>
    </row>
    <row r="357" spans="2:6" x14ac:dyDescent="0.25">
      <c r="B357" s="5" t="s">
        <v>360</v>
      </c>
      <c r="C357" s="3">
        <v>446</v>
      </c>
      <c r="D357" s="3">
        <v>208</v>
      </c>
      <c r="E357" s="3">
        <f t="shared" si="5"/>
        <v>416</v>
      </c>
      <c r="F357" s="3" cm="1">
        <f t="array" ref="F357">IF(ABS(E357-hdrmark)&lt;(Tolerance*hdrmark),"HdrMark",IF(ABS(E357-hdrspace)&lt;(Tolerance*hdrspace),"HdrSpace",(IF(ABS(E357-gap)&lt;(Tolerance*gap),"Gap",IF(ISNUMBER(SEARCH("BitMark",F358)),IF(ABS(E357-zerospace)&lt;(Tolerance*zerospace),1,0),"BitMark")))))</f>
        <v>0</v>
      </c>
    </row>
    <row r="358" spans="2:6" ht="15" customHeight="1" x14ac:dyDescent="0.25">
      <c r="B358" s="5" t="s">
        <v>361</v>
      </c>
      <c r="C358" s="3">
        <v>416</v>
      </c>
      <c r="D358" s="3">
        <v>221</v>
      </c>
      <c r="E358" s="3">
        <f t="shared" si="5"/>
        <v>442</v>
      </c>
      <c r="F358" s="3" t="str" cm="1">
        <f t="array" ref="F358">IF(ABS(E358-hdrmark)&lt;(Tolerance*hdrmark),"HdrMark",IF(ABS(E358-hdrspace)&lt;(Tolerance*hdrspace),"HdrSpace",(IF(ABS(E358-gap)&lt;(Tolerance*gap),"Gap",IF(ISNUMBER(SEARCH("BitMark",F359)),IF(ABS(E358-zerospace)&lt;(Tolerance*zerospace),1,0),"BitMark")))))</f>
        <v>BitMark</v>
      </c>
    </row>
    <row r="359" spans="2:6" x14ac:dyDescent="0.25">
      <c r="B359" s="5" t="s">
        <v>362</v>
      </c>
      <c r="C359" s="3">
        <v>440</v>
      </c>
      <c r="D359" s="3">
        <v>209</v>
      </c>
      <c r="E359" s="3">
        <f t="shared" si="5"/>
        <v>418</v>
      </c>
      <c r="F359" s="3" cm="1">
        <f t="array" ref="F359">IF(ABS(E359-hdrmark)&lt;(Tolerance*hdrmark),"HdrMark",IF(ABS(E359-hdrspace)&lt;(Tolerance*hdrspace),"HdrSpace",(IF(ABS(E359-gap)&lt;(Tolerance*gap),"Gap",IF(ISNUMBER(SEARCH("BitMark",F360)),IF(ABS(E359-zerospace)&lt;(Tolerance*zerospace),1,0),"BitMark")))))</f>
        <v>0</v>
      </c>
    </row>
    <row r="360" spans="2:6" ht="15" customHeight="1" x14ac:dyDescent="0.25">
      <c r="B360" s="5" t="s">
        <v>363</v>
      </c>
      <c r="C360" s="3">
        <v>422</v>
      </c>
      <c r="D360" s="3">
        <v>226</v>
      </c>
      <c r="E360" s="3">
        <f t="shared" si="5"/>
        <v>452</v>
      </c>
      <c r="F360" s="3" t="str" cm="1">
        <f t="array" ref="F360">IF(ABS(E360-hdrmark)&lt;(Tolerance*hdrmark),"HdrMark",IF(ABS(E360-hdrspace)&lt;(Tolerance*hdrspace),"HdrSpace",(IF(ABS(E360-gap)&lt;(Tolerance*gap),"Gap",IF(ISNUMBER(SEARCH("BitMark",F361)),IF(ABS(E360-zerospace)&lt;(Tolerance*zerospace),1,0),"BitMark")))))</f>
        <v>BitMark</v>
      </c>
    </row>
    <row r="361" spans="2:6" x14ac:dyDescent="0.25">
      <c r="B361" s="5" t="s">
        <v>364</v>
      </c>
      <c r="C361" s="3">
        <v>444</v>
      </c>
      <c r="D361" s="3">
        <v>209</v>
      </c>
      <c r="E361" s="3">
        <f t="shared" si="5"/>
        <v>418</v>
      </c>
      <c r="F361" s="3" cm="1">
        <f t="array" ref="F361">IF(ABS(E361-hdrmark)&lt;(Tolerance*hdrmark),"HdrMark",IF(ABS(E361-hdrspace)&lt;(Tolerance*hdrspace),"HdrSpace",(IF(ABS(E361-gap)&lt;(Tolerance*gap),"Gap",IF(ISNUMBER(SEARCH("BitMark",F362)),IF(ABS(E361-zerospace)&lt;(Tolerance*zerospace),1,0),"BitMark")))))</f>
        <v>0</v>
      </c>
    </row>
    <row r="362" spans="2:6" ht="15" customHeight="1" x14ac:dyDescent="0.25">
      <c r="B362" s="5" t="s">
        <v>365</v>
      </c>
      <c r="C362" s="3">
        <v>418</v>
      </c>
      <c r="D362" s="3">
        <v>222</v>
      </c>
      <c r="E362" s="3">
        <f t="shared" si="5"/>
        <v>444</v>
      </c>
      <c r="F362" s="3" t="str" cm="1">
        <f t="array" ref="F362">IF(ABS(E362-hdrmark)&lt;(Tolerance*hdrmark),"HdrMark",IF(ABS(E362-hdrspace)&lt;(Tolerance*hdrspace),"HdrSpace",(IF(ABS(E362-gap)&lt;(Tolerance*gap),"Gap",IF(ISNUMBER(SEARCH("BitMark",F363)),IF(ABS(E362-zerospace)&lt;(Tolerance*zerospace),1,0),"BitMark")))))</f>
        <v>BitMark</v>
      </c>
    </row>
    <row r="363" spans="2:6" x14ac:dyDescent="0.25">
      <c r="B363" s="5" t="s">
        <v>366</v>
      </c>
      <c r="C363" s="3">
        <v>448</v>
      </c>
      <c r="D363" s="3">
        <v>226</v>
      </c>
      <c r="E363" s="3">
        <f t="shared" si="5"/>
        <v>452</v>
      </c>
      <c r="F363" s="3" cm="1">
        <f t="array" ref="F363">IF(ABS(E363-hdrmark)&lt;(Tolerance*hdrmark),"HdrMark",IF(ABS(E363-hdrspace)&lt;(Tolerance*hdrspace),"HdrSpace",(IF(ABS(E363-gap)&lt;(Tolerance*gap),"Gap",IF(ISNUMBER(SEARCH("BitMark",F364)),IF(ABS(E363-zerospace)&lt;(Tolerance*zerospace),1,0),"BitMark")))))</f>
        <v>0</v>
      </c>
    </row>
    <row r="364" spans="2:6" ht="15" customHeight="1" x14ac:dyDescent="0.25">
      <c r="B364" s="5" t="s">
        <v>367</v>
      </c>
      <c r="C364" s="3">
        <v>414</v>
      </c>
      <c r="D364" s="3">
        <v>211</v>
      </c>
      <c r="E364" s="3">
        <f t="shared" si="5"/>
        <v>422</v>
      </c>
      <c r="F364" s="3" t="str" cm="1">
        <f t="array" ref="F364">IF(ABS(E364-hdrmark)&lt;(Tolerance*hdrmark),"HdrMark",IF(ABS(E364-hdrspace)&lt;(Tolerance*hdrspace),"HdrSpace",(IF(ABS(E364-gap)&lt;(Tolerance*gap),"Gap",IF(ISNUMBER(SEARCH("BitMark",F365)),IF(ABS(E364-zerospace)&lt;(Tolerance*zerospace),1,0),"BitMark")))))</f>
        <v>BitMark</v>
      </c>
    </row>
    <row r="365" spans="2:6" x14ac:dyDescent="0.25">
      <c r="B365" s="5" t="s">
        <v>368</v>
      </c>
      <c r="C365" s="3">
        <v>442</v>
      </c>
      <c r="D365" s="3">
        <v>206</v>
      </c>
      <c r="E365" s="3">
        <f t="shared" si="5"/>
        <v>412</v>
      </c>
      <c r="F365" s="3" cm="1">
        <f t="array" ref="F365">IF(ABS(E365-hdrmark)&lt;(Tolerance*hdrmark),"HdrMark",IF(ABS(E365-hdrspace)&lt;(Tolerance*hdrspace),"HdrSpace",(IF(ABS(E365-gap)&lt;(Tolerance*gap),"Gap",IF(ISNUMBER(SEARCH("BitMark",F366)),IF(ABS(E365-zerospace)&lt;(Tolerance*zerospace),1,0),"BitMark")))))</f>
        <v>0</v>
      </c>
    </row>
    <row r="366" spans="2:6" ht="15" customHeight="1" x14ac:dyDescent="0.25">
      <c r="B366" s="5" t="s">
        <v>369</v>
      </c>
      <c r="C366" s="3">
        <v>420</v>
      </c>
      <c r="D366" s="3">
        <v>225</v>
      </c>
      <c r="E366" s="3">
        <f t="shared" si="5"/>
        <v>450</v>
      </c>
      <c r="F366" s="3" t="str" cm="1">
        <f t="array" ref="F366">IF(ABS(E366-hdrmark)&lt;(Tolerance*hdrmark),"HdrMark",IF(ABS(E366-hdrspace)&lt;(Tolerance*hdrspace),"HdrSpace",(IF(ABS(E366-gap)&lt;(Tolerance*gap),"Gap",IF(ISNUMBER(SEARCH("BitMark",F367)),IF(ABS(E366-zerospace)&lt;(Tolerance*zerospace),1,0),"BitMark")))))</f>
        <v>BitMark</v>
      </c>
    </row>
    <row r="367" spans="2:6" x14ac:dyDescent="0.25">
      <c r="B367" s="5" t="s">
        <v>370</v>
      </c>
      <c r="C367" s="3">
        <v>446</v>
      </c>
      <c r="D367" s="3">
        <v>210</v>
      </c>
      <c r="E367" s="3">
        <f t="shared" si="5"/>
        <v>420</v>
      </c>
      <c r="F367" s="3" cm="1">
        <f t="array" ref="F367">IF(ABS(E367-hdrmark)&lt;(Tolerance*hdrmark),"HdrMark",IF(ABS(E367-hdrspace)&lt;(Tolerance*hdrspace),"HdrSpace",(IF(ABS(E367-gap)&lt;(Tolerance*gap),"Gap",IF(ISNUMBER(SEARCH("BitMark",F368)),IF(ABS(E367-zerospace)&lt;(Tolerance*zerospace),1,0),"BitMark")))))</f>
        <v>0</v>
      </c>
    </row>
    <row r="368" spans="2:6" ht="15" customHeight="1" x14ac:dyDescent="0.25">
      <c r="B368" s="5" t="s">
        <v>371</v>
      </c>
      <c r="C368" s="3">
        <v>420</v>
      </c>
      <c r="D368" s="3">
        <v>223</v>
      </c>
      <c r="E368" s="3">
        <f t="shared" si="5"/>
        <v>446</v>
      </c>
      <c r="F368" s="3" t="str" cm="1">
        <f t="array" ref="F368">IF(ABS(E368-hdrmark)&lt;(Tolerance*hdrmark),"HdrMark",IF(ABS(E368-hdrspace)&lt;(Tolerance*hdrspace),"HdrSpace",(IF(ABS(E368-gap)&lt;(Tolerance*gap),"Gap",IF(ISNUMBER(SEARCH("BitMark",F369)),IF(ABS(E368-zerospace)&lt;(Tolerance*zerospace),1,0),"BitMark")))))</f>
        <v>BitMark</v>
      </c>
    </row>
    <row r="369" spans="2:6" x14ac:dyDescent="0.25">
      <c r="B369" s="5" t="s">
        <v>372</v>
      </c>
      <c r="C369" s="3">
        <v>436</v>
      </c>
      <c r="D369" s="3">
        <v>206</v>
      </c>
      <c r="E369" s="3">
        <f t="shared" si="5"/>
        <v>412</v>
      </c>
      <c r="F369" s="3" cm="1">
        <f t="array" ref="F369">IF(ABS(E369-hdrmark)&lt;(Tolerance*hdrmark),"HdrMark",IF(ABS(E369-hdrspace)&lt;(Tolerance*hdrspace),"HdrSpace",(IF(ABS(E369-gap)&lt;(Tolerance*gap),"Gap",IF(ISNUMBER(SEARCH("BitMark",F370)),IF(ABS(E369-zerospace)&lt;(Tolerance*zerospace),1,0),"BitMark")))))</f>
        <v>0</v>
      </c>
    </row>
    <row r="370" spans="2:6" ht="15" customHeight="1" x14ac:dyDescent="0.25">
      <c r="B370" s="5" t="s">
        <v>373</v>
      </c>
      <c r="C370" s="3">
        <v>420</v>
      </c>
      <c r="D370" s="3">
        <v>223</v>
      </c>
      <c r="E370" s="3">
        <f t="shared" si="5"/>
        <v>446</v>
      </c>
      <c r="F370" s="3" t="str" cm="1">
        <f t="array" ref="F370">IF(ABS(E370-hdrmark)&lt;(Tolerance*hdrmark),"HdrMark",IF(ABS(E370-hdrspace)&lt;(Tolerance*hdrspace),"HdrSpace",(IF(ABS(E370-gap)&lt;(Tolerance*gap),"Gap",IF(ISNUMBER(SEARCH("BitMark",F371)),IF(ABS(E370-zerospace)&lt;(Tolerance*zerospace),1,0),"BitMark")))))</f>
        <v>BitMark</v>
      </c>
    </row>
    <row r="371" spans="2:6" x14ac:dyDescent="0.25">
      <c r="B371" s="5" t="s">
        <v>374</v>
      </c>
      <c r="C371" s="3">
        <v>446</v>
      </c>
      <c r="D371" s="3">
        <v>214</v>
      </c>
      <c r="E371" s="3">
        <f t="shared" si="5"/>
        <v>428</v>
      </c>
      <c r="F371" s="3" cm="1">
        <f t="array" ref="F371">IF(ABS(E371-hdrmark)&lt;(Tolerance*hdrmark),"HdrMark",IF(ABS(E371-hdrspace)&lt;(Tolerance*hdrspace),"HdrSpace",(IF(ABS(E371-gap)&lt;(Tolerance*gap),"Gap",IF(ISNUMBER(SEARCH("BitMark",F372)),IF(ABS(E371-zerospace)&lt;(Tolerance*zerospace),1,0),"BitMark")))))</f>
        <v>0</v>
      </c>
    </row>
    <row r="372" spans="2:6" ht="15" customHeight="1" x14ac:dyDescent="0.25">
      <c r="B372" s="5" t="s">
        <v>375</v>
      </c>
      <c r="C372" s="3">
        <v>416</v>
      </c>
      <c r="D372" s="3">
        <v>221</v>
      </c>
      <c r="E372" s="3">
        <f t="shared" si="5"/>
        <v>442</v>
      </c>
      <c r="F372" s="3" t="str" cm="1">
        <f t="array" ref="F372">IF(ABS(E372-hdrmark)&lt;(Tolerance*hdrmark),"HdrMark",IF(ABS(E372-hdrspace)&lt;(Tolerance*hdrspace),"HdrSpace",(IF(ABS(E372-gap)&lt;(Tolerance*gap),"Gap",IF(ISNUMBER(SEARCH("BitMark",F373)),IF(ABS(E372-zerospace)&lt;(Tolerance*zerospace),1,0),"BitMark")))))</f>
        <v>BitMark</v>
      </c>
    </row>
    <row r="373" spans="2:6" x14ac:dyDescent="0.25">
      <c r="B373" s="5" t="s">
        <v>376</v>
      </c>
      <c r="C373" s="3">
        <v>440</v>
      </c>
      <c r="D373" s="3">
        <v>209</v>
      </c>
      <c r="E373" s="3">
        <f t="shared" si="5"/>
        <v>418</v>
      </c>
      <c r="F373" s="3" cm="1">
        <f t="array" ref="F373">IF(ABS(E373-hdrmark)&lt;(Tolerance*hdrmark),"HdrMark",IF(ABS(E373-hdrspace)&lt;(Tolerance*hdrspace),"HdrSpace",(IF(ABS(E373-gap)&lt;(Tolerance*gap),"Gap",IF(ISNUMBER(SEARCH("BitMark",F374)),IF(ABS(E373-zerospace)&lt;(Tolerance*zerospace),1,0),"BitMark")))))</f>
        <v>0</v>
      </c>
    </row>
    <row r="374" spans="2:6" ht="15" customHeight="1" x14ac:dyDescent="0.25">
      <c r="B374" s="5" t="s">
        <v>377</v>
      </c>
      <c r="C374" s="3">
        <v>422</v>
      </c>
      <c r="D374" s="3">
        <v>220</v>
      </c>
      <c r="E374" s="3">
        <f t="shared" si="5"/>
        <v>440</v>
      </c>
      <c r="F374" s="3" t="str" cm="1">
        <f t="array" ref="F374">IF(ABS(E374-hdrmark)&lt;(Tolerance*hdrmark),"HdrMark",IF(ABS(E374-hdrspace)&lt;(Tolerance*hdrspace),"HdrSpace",(IF(ABS(E374-gap)&lt;(Tolerance*gap),"Gap",IF(ISNUMBER(SEARCH("BitMark",F375)),IF(ABS(E374-zerospace)&lt;(Tolerance*zerospace),1,0),"BitMark")))))</f>
        <v>BitMark</v>
      </c>
    </row>
    <row r="375" spans="2:6" x14ac:dyDescent="0.25">
      <c r="B375" s="5" t="s">
        <v>378</v>
      </c>
      <c r="C375" s="3">
        <v>444</v>
      </c>
      <c r="D375" s="3">
        <v>213</v>
      </c>
      <c r="E375" s="3">
        <f t="shared" si="5"/>
        <v>426</v>
      </c>
      <c r="F375" s="3" cm="1">
        <f t="array" ref="F375">IF(ABS(E375-hdrmark)&lt;(Tolerance*hdrmark),"HdrMark",IF(ABS(E375-hdrspace)&lt;(Tolerance*hdrspace),"HdrSpace",(IF(ABS(E375-gap)&lt;(Tolerance*gap),"Gap",IF(ISNUMBER(SEARCH("BitMark",F376)),IF(ABS(E375-zerospace)&lt;(Tolerance*zerospace),1,0),"BitMark")))))</f>
        <v>0</v>
      </c>
    </row>
    <row r="376" spans="2:6" ht="15" customHeight="1" x14ac:dyDescent="0.25">
      <c r="B376" s="5" t="s">
        <v>379</v>
      </c>
      <c r="C376" s="3">
        <v>418</v>
      </c>
      <c r="D376" s="3">
        <v>227</v>
      </c>
      <c r="E376" s="3">
        <f t="shared" si="5"/>
        <v>454</v>
      </c>
      <c r="F376" s="3" t="str" cm="1">
        <f t="array" ref="F376">IF(ABS(E376-hdrmark)&lt;(Tolerance*hdrmark),"HdrMark",IF(ABS(E376-hdrspace)&lt;(Tolerance*hdrspace),"HdrSpace",(IF(ABS(E376-gap)&lt;(Tolerance*gap),"Gap",IF(ISNUMBER(SEARCH("BitMark",F377)),IF(ABS(E376-zerospace)&lt;(Tolerance*zerospace),1,0),"BitMark")))))</f>
        <v>BitMark</v>
      </c>
    </row>
    <row r="377" spans="2:6" x14ac:dyDescent="0.25">
      <c r="B377" s="5" t="s">
        <v>380</v>
      </c>
      <c r="C377" s="3">
        <v>448</v>
      </c>
      <c r="D377" s="3">
        <v>221</v>
      </c>
      <c r="E377" s="3">
        <f t="shared" si="5"/>
        <v>442</v>
      </c>
      <c r="F377" s="3" cm="1">
        <f t="array" ref="F377">IF(ABS(E377-hdrmark)&lt;(Tolerance*hdrmark),"HdrMark",IF(ABS(E377-hdrspace)&lt;(Tolerance*hdrspace),"HdrSpace",(IF(ABS(E377-gap)&lt;(Tolerance*gap),"Gap",IF(ISNUMBER(SEARCH("BitMark",F378)),IF(ABS(E377-zerospace)&lt;(Tolerance*zerospace),1,0),"BitMark")))))</f>
        <v>0</v>
      </c>
    </row>
    <row r="378" spans="2:6" ht="15" customHeight="1" x14ac:dyDescent="0.25">
      <c r="B378" s="5" t="s">
        <v>381</v>
      </c>
      <c r="C378" s="3">
        <v>414</v>
      </c>
      <c r="D378" s="3">
        <v>208</v>
      </c>
      <c r="E378" s="3">
        <f t="shared" si="5"/>
        <v>416</v>
      </c>
      <c r="F378" s="3" t="str" cm="1">
        <f t="array" ref="F378">IF(ABS(E378-hdrmark)&lt;(Tolerance*hdrmark),"HdrMark",IF(ABS(E378-hdrspace)&lt;(Tolerance*hdrspace),"HdrSpace",(IF(ABS(E378-gap)&lt;(Tolerance*gap),"Gap",IF(ISNUMBER(SEARCH("BitMark",F379)),IF(ABS(E378-zerospace)&lt;(Tolerance*zerospace),1,0),"BitMark")))))</f>
        <v>BitMark</v>
      </c>
    </row>
    <row r="379" spans="2:6" x14ac:dyDescent="0.25">
      <c r="B379" s="5" t="s">
        <v>382</v>
      </c>
      <c r="C379" s="3">
        <v>442</v>
      </c>
      <c r="D379" s="3">
        <v>209</v>
      </c>
      <c r="E379" s="3">
        <f t="shared" si="5"/>
        <v>418</v>
      </c>
      <c r="F379" s="3" cm="1">
        <f t="array" ref="F379">IF(ABS(E379-hdrmark)&lt;(Tolerance*hdrmark),"HdrMark",IF(ABS(E379-hdrspace)&lt;(Tolerance*hdrspace),"HdrSpace",(IF(ABS(E379-gap)&lt;(Tolerance*gap),"Gap",IF(ISNUMBER(SEARCH("BitMark",F380)),IF(ABS(E379-zerospace)&lt;(Tolerance*zerospace),1,0),"BitMark")))))</f>
        <v>0</v>
      </c>
    </row>
    <row r="380" spans="2:6" ht="15" customHeight="1" x14ac:dyDescent="0.25">
      <c r="B380" s="5" t="s">
        <v>383</v>
      </c>
      <c r="C380" s="3">
        <v>420</v>
      </c>
      <c r="D380" s="3">
        <v>220</v>
      </c>
      <c r="E380" s="3">
        <f t="shared" si="5"/>
        <v>440</v>
      </c>
      <c r="F380" s="3" t="str" cm="1">
        <f t="array" ref="F380">IF(ABS(E380-hdrmark)&lt;(Tolerance*hdrmark),"HdrMark",IF(ABS(E380-hdrspace)&lt;(Tolerance*hdrspace),"HdrSpace",(IF(ABS(E380-gap)&lt;(Tolerance*gap),"Gap",IF(ISNUMBER(SEARCH("BitMark",F381)),IF(ABS(E380-zerospace)&lt;(Tolerance*zerospace),1,0),"BitMark")))))</f>
        <v>BitMark</v>
      </c>
    </row>
    <row r="381" spans="2:6" x14ac:dyDescent="0.25">
      <c r="B381" s="5" t="s">
        <v>384</v>
      </c>
      <c r="C381" s="3">
        <v>446</v>
      </c>
      <c r="D381" s="3">
        <v>215</v>
      </c>
      <c r="E381" s="3">
        <f t="shared" si="5"/>
        <v>430</v>
      </c>
      <c r="F381" s="3" cm="1">
        <f t="array" ref="F381">IF(ABS(E381-hdrmark)&lt;(Tolerance*hdrmark),"HdrMark",IF(ABS(E381-hdrspace)&lt;(Tolerance*hdrspace),"HdrSpace",(IF(ABS(E381-gap)&lt;(Tolerance*gap),"Gap",IF(ISNUMBER(SEARCH("BitMark",F382)),IF(ABS(E381-zerospace)&lt;(Tolerance*zerospace),1,0),"BitMark")))))</f>
        <v>0</v>
      </c>
    </row>
    <row r="382" spans="2:6" ht="15" customHeight="1" x14ac:dyDescent="0.25">
      <c r="B382" s="5" t="s">
        <v>385</v>
      </c>
      <c r="C382" s="3">
        <v>414</v>
      </c>
      <c r="D382" s="3">
        <v>225</v>
      </c>
      <c r="E382" s="3">
        <f t="shared" si="5"/>
        <v>450</v>
      </c>
      <c r="F382" s="3" t="str" cm="1">
        <f t="array" ref="F382">IF(ABS(E382-hdrmark)&lt;(Tolerance*hdrmark),"HdrMark",IF(ABS(E382-hdrspace)&lt;(Tolerance*hdrspace),"HdrSpace",(IF(ABS(E382-gap)&lt;(Tolerance*gap),"Gap",IF(ISNUMBER(SEARCH("BitMark",F383)),IF(ABS(E382-zerospace)&lt;(Tolerance*zerospace),1,0),"BitMark")))))</f>
        <v>BitMark</v>
      </c>
    </row>
    <row r="383" spans="2:6" x14ac:dyDescent="0.25">
      <c r="B383" s="5" t="s">
        <v>386</v>
      </c>
      <c r="C383" s="3">
        <v>442</v>
      </c>
      <c r="D383" s="3">
        <v>206</v>
      </c>
      <c r="E383" s="3">
        <f t="shared" si="5"/>
        <v>412</v>
      </c>
      <c r="F383" s="3" cm="1">
        <f t="array" ref="F383">IF(ABS(E383-hdrmark)&lt;(Tolerance*hdrmark),"HdrMark",IF(ABS(E383-hdrspace)&lt;(Tolerance*hdrspace),"HdrSpace",(IF(ABS(E383-gap)&lt;(Tolerance*gap),"Gap",IF(ISNUMBER(SEARCH("BitMark",F384)),IF(ABS(E383-zerospace)&lt;(Tolerance*zerospace),1,0),"BitMark")))))</f>
        <v>0</v>
      </c>
    </row>
    <row r="384" spans="2:6" ht="15" customHeight="1" x14ac:dyDescent="0.25">
      <c r="B384" s="5" t="s">
        <v>387</v>
      </c>
      <c r="C384" s="3">
        <v>420</v>
      </c>
      <c r="D384" s="3">
        <v>224</v>
      </c>
      <c r="E384" s="3">
        <f t="shared" si="5"/>
        <v>448</v>
      </c>
      <c r="F384" s="3" t="str" cm="1">
        <f t="array" ref="F384">IF(ABS(E384-hdrmark)&lt;(Tolerance*hdrmark),"HdrMark",IF(ABS(E384-hdrspace)&lt;(Tolerance*hdrspace),"HdrSpace",(IF(ABS(E384-gap)&lt;(Tolerance*gap),"Gap",IF(ISNUMBER(SEARCH("BitMark",F385)),IF(ABS(E384-zerospace)&lt;(Tolerance*zerospace),1,0),"BitMark")))))</f>
        <v>BitMark</v>
      </c>
    </row>
    <row r="385" spans="2:6" x14ac:dyDescent="0.25">
      <c r="B385" s="5" t="s">
        <v>388</v>
      </c>
      <c r="C385" s="3">
        <v>446</v>
      </c>
      <c r="D385" s="3">
        <v>211</v>
      </c>
      <c r="E385" s="3">
        <f t="shared" si="5"/>
        <v>422</v>
      </c>
      <c r="F385" s="3" cm="1">
        <f t="array" ref="F385">IF(ABS(E385-hdrmark)&lt;(Tolerance*hdrmark),"HdrMark",IF(ABS(E385-hdrspace)&lt;(Tolerance*hdrspace),"HdrSpace",(IF(ABS(E385-gap)&lt;(Tolerance*gap),"Gap",IF(ISNUMBER(SEARCH("BitMark",F386)),IF(ABS(E385-zerospace)&lt;(Tolerance*zerospace),1,0),"BitMark")))))</f>
        <v>0</v>
      </c>
    </row>
    <row r="386" spans="2:6" ht="15" customHeight="1" x14ac:dyDescent="0.25">
      <c r="B386" s="5" t="s">
        <v>389</v>
      </c>
      <c r="C386" s="3">
        <v>420</v>
      </c>
      <c r="D386" s="3">
        <v>224</v>
      </c>
      <c r="E386" s="3">
        <f t="shared" si="5"/>
        <v>448</v>
      </c>
      <c r="F386" s="3" t="str" cm="1">
        <f t="array" ref="F386">IF(ABS(E386-hdrmark)&lt;(Tolerance*hdrmark),"HdrMark",IF(ABS(E386-hdrspace)&lt;(Tolerance*hdrspace),"HdrSpace",(IF(ABS(E386-gap)&lt;(Tolerance*gap),"Gap",IF(ISNUMBER(SEARCH("BitMark",F387)),IF(ABS(E386-zerospace)&lt;(Tolerance*zerospace),1,0),"BitMark")))))</f>
        <v>BitMark</v>
      </c>
    </row>
    <row r="387" spans="2:6" x14ac:dyDescent="0.25">
      <c r="B387" s="5" t="s">
        <v>390</v>
      </c>
      <c r="C387" s="3">
        <v>436</v>
      </c>
      <c r="D387" s="3">
        <v>206</v>
      </c>
      <c r="E387" s="3">
        <f t="shared" si="5"/>
        <v>412</v>
      </c>
      <c r="F387" s="3" cm="1">
        <f t="array" ref="F387">IF(ABS(E387-hdrmark)&lt;(Tolerance*hdrmark),"HdrMark",IF(ABS(E387-hdrspace)&lt;(Tolerance*hdrspace),"HdrSpace",(IF(ABS(E387-gap)&lt;(Tolerance*gap),"Gap",IF(ISNUMBER(SEARCH("BitMark",F388)),IF(ABS(E387-zerospace)&lt;(Tolerance*zerospace),1,0),"BitMark")))))</f>
        <v>0</v>
      </c>
    </row>
    <row r="388" spans="2:6" ht="15" customHeight="1" x14ac:dyDescent="0.25">
      <c r="B388" s="5" t="s">
        <v>391</v>
      </c>
      <c r="C388" s="3">
        <v>422</v>
      </c>
      <c r="D388" s="3">
        <v>224</v>
      </c>
      <c r="E388" s="3">
        <f t="shared" si="5"/>
        <v>448</v>
      </c>
      <c r="F388" s="3" t="str" cm="1">
        <f t="array" ref="F388">IF(ABS(E388-hdrmark)&lt;(Tolerance*hdrmark),"HdrMark",IF(ABS(E388-hdrspace)&lt;(Tolerance*hdrspace),"HdrSpace",(IF(ABS(E388-gap)&lt;(Tolerance*gap),"Gap",IF(ISNUMBER(SEARCH("BitMark",F389)),IF(ABS(E388-zerospace)&lt;(Tolerance*zerospace),1,0),"BitMark")))))</f>
        <v>BitMark</v>
      </c>
    </row>
    <row r="389" spans="2:6" x14ac:dyDescent="0.25">
      <c r="B389" s="5" t="s">
        <v>392</v>
      </c>
      <c r="C389" s="3">
        <v>444</v>
      </c>
      <c r="D389" s="3">
        <v>212</v>
      </c>
      <c r="E389" s="3">
        <f t="shared" si="5"/>
        <v>424</v>
      </c>
      <c r="F389" s="3" cm="1">
        <f t="array" ref="F389">IF(ABS(E389-hdrmark)&lt;(Tolerance*hdrmark),"HdrMark",IF(ABS(E389-hdrspace)&lt;(Tolerance*hdrspace),"HdrSpace",(IF(ABS(E389-gap)&lt;(Tolerance*gap),"Gap",IF(ISNUMBER(SEARCH("BitMark",F390)),IF(ABS(E389-zerospace)&lt;(Tolerance*zerospace),1,0),"BitMark")))))</f>
        <v>0</v>
      </c>
    </row>
    <row r="390" spans="2:6" ht="15" customHeight="1" x14ac:dyDescent="0.25">
      <c r="B390" s="5" t="s">
        <v>393</v>
      </c>
      <c r="C390" s="3">
        <v>418</v>
      </c>
      <c r="D390" s="3">
        <v>222</v>
      </c>
      <c r="E390" s="3">
        <f t="shared" si="5"/>
        <v>444</v>
      </c>
      <c r="F390" s="3" t="str" cm="1">
        <f t="array" ref="F390">IF(ABS(E390-hdrmark)&lt;(Tolerance*hdrmark),"HdrMark",IF(ABS(E390-hdrspace)&lt;(Tolerance*hdrspace),"HdrSpace",(IF(ABS(E390-gap)&lt;(Tolerance*gap),"Gap",IF(ISNUMBER(SEARCH("BitMark",F391)),IF(ABS(E390-zerospace)&lt;(Tolerance*zerospace),1,0),"BitMark")))))</f>
        <v>BitMark</v>
      </c>
    </row>
    <row r="391" spans="2:6" x14ac:dyDescent="0.25">
      <c r="B391" s="5" t="s">
        <v>394</v>
      </c>
      <c r="C391" s="3">
        <v>448</v>
      </c>
      <c r="D391" s="3">
        <v>213</v>
      </c>
      <c r="E391" s="3">
        <f t="shared" si="5"/>
        <v>426</v>
      </c>
      <c r="F391" s="3" cm="1">
        <f t="array" ref="F391">IF(ABS(E391-hdrmark)&lt;(Tolerance*hdrmark),"HdrMark",IF(ABS(E391-hdrspace)&lt;(Tolerance*hdrspace),"HdrSpace",(IF(ABS(E391-gap)&lt;(Tolerance*gap),"Gap",IF(ISNUMBER(SEARCH("BitMark",F392)),IF(ABS(E391-zerospace)&lt;(Tolerance*zerospace),1,0),"BitMark")))))</f>
        <v>0</v>
      </c>
    </row>
    <row r="392" spans="2:6" ht="15" customHeight="1" x14ac:dyDescent="0.25">
      <c r="B392" s="5" t="s">
        <v>395</v>
      </c>
      <c r="C392" s="3">
        <v>420</v>
      </c>
      <c r="D392" s="3">
        <v>222</v>
      </c>
      <c r="E392" s="3">
        <f t="shared" si="5"/>
        <v>444</v>
      </c>
      <c r="F392" s="3" t="str" cm="1">
        <f t="array" ref="F392">IF(ABS(E392-hdrmark)&lt;(Tolerance*hdrmark),"HdrMark",IF(ABS(E392-hdrspace)&lt;(Tolerance*hdrspace),"HdrSpace",(IF(ABS(E392-gap)&lt;(Tolerance*gap),"Gap",IF(ISNUMBER(SEARCH("BitMark",F393)),IF(ABS(E392-zerospace)&lt;(Tolerance*zerospace),1,0),"BitMark")))))</f>
        <v>BitMark</v>
      </c>
    </row>
    <row r="393" spans="2:6" x14ac:dyDescent="0.25">
      <c r="B393" s="5" t="s">
        <v>396</v>
      </c>
      <c r="C393" s="3">
        <v>436</v>
      </c>
      <c r="D393" s="3">
        <v>208</v>
      </c>
      <c r="E393" s="3">
        <f t="shared" si="5"/>
        <v>416</v>
      </c>
      <c r="F393" s="3" cm="1">
        <f t="array" ref="F393">IF(ABS(E393-hdrmark)&lt;(Tolerance*hdrmark),"HdrMark",IF(ABS(E393-hdrspace)&lt;(Tolerance*hdrspace),"HdrSpace",(IF(ABS(E393-gap)&lt;(Tolerance*gap),"Gap",IF(ISNUMBER(SEARCH("BitMark",F394)),IF(ABS(E393-zerospace)&lt;(Tolerance*zerospace),1,0),"BitMark")))))</f>
        <v>0</v>
      </c>
    </row>
    <row r="394" spans="2:6" ht="15" customHeight="1" x14ac:dyDescent="0.25">
      <c r="B394" s="5" t="s">
        <v>397</v>
      </c>
      <c r="C394" s="3">
        <v>420</v>
      </c>
      <c r="D394" s="3">
        <v>221</v>
      </c>
      <c r="E394" s="3">
        <f t="shared" si="5"/>
        <v>442</v>
      </c>
      <c r="F394" s="3" t="str" cm="1">
        <f t="array" ref="F394">IF(ABS(E394-hdrmark)&lt;(Tolerance*hdrmark),"HdrMark",IF(ABS(E394-hdrspace)&lt;(Tolerance*hdrspace),"HdrSpace",(IF(ABS(E394-gap)&lt;(Tolerance*gap),"Gap",IF(ISNUMBER(SEARCH("BitMark",F395)),IF(ABS(E394-zerospace)&lt;(Tolerance*zerospace),1,0),"BitMark")))))</f>
        <v>BitMark</v>
      </c>
    </row>
    <row r="395" spans="2:6" x14ac:dyDescent="0.25">
      <c r="B395" s="5" t="s">
        <v>398</v>
      </c>
      <c r="C395" s="3">
        <v>446</v>
      </c>
      <c r="D395" s="3">
        <v>214</v>
      </c>
      <c r="E395" s="3">
        <f t="shared" si="5"/>
        <v>428</v>
      </c>
      <c r="F395" s="3" cm="1">
        <f t="array" ref="F395">IF(ABS(E395-hdrmark)&lt;(Tolerance*hdrmark),"HdrMark",IF(ABS(E395-hdrspace)&lt;(Tolerance*hdrspace),"HdrSpace",(IF(ABS(E395-gap)&lt;(Tolerance*gap),"Gap",IF(ISNUMBER(SEARCH("BitMark",F396)),IF(ABS(E395-zerospace)&lt;(Tolerance*zerospace),1,0),"BitMark")))))</f>
        <v>0</v>
      </c>
    </row>
    <row r="396" spans="2:6" ht="15" customHeight="1" x14ac:dyDescent="0.25">
      <c r="B396" s="5" t="s">
        <v>399</v>
      </c>
      <c r="C396" s="3">
        <v>414</v>
      </c>
      <c r="D396" s="3">
        <v>220</v>
      </c>
      <c r="E396" s="3">
        <f t="shared" ref="E396:E450" si="6">D396*2</f>
        <v>440</v>
      </c>
      <c r="F396" s="3" t="str" cm="1">
        <f t="array" ref="F396">IF(ABS(E396-hdrmark)&lt;(Tolerance*hdrmark),"HdrMark",IF(ABS(E396-hdrspace)&lt;(Tolerance*hdrspace),"HdrSpace",(IF(ABS(E396-gap)&lt;(Tolerance*gap),"Gap",IF(ISNUMBER(SEARCH("BitMark",F397)),IF(ABS(E396-zerospace)&lt;(Tolerance*zerospace),1,0),"BitMark")))))</f>
        <v>BitMark</v>
      </c>
    </row>
    <row r="397" spans="2:6" x14ac:dyDescent="0.25">
      <c r="B397" s="5" t="s">
        <v>400</v>
      </c>
      <c r="C397" s="3">
        <v>442</v>
      </c>
      <c r="D397" s="3">
        <v>223</v>
      </c>
      <c r="E397" s="3">
        <f t="shared" si="6"/>
        <v>446</v>
      </c>
      <c r="F397" s="3" cm="1">
        <f t="array" ref="F397">IF(ABS(E397-hdrmark)&lt;(Tolerance*hdrmark),"HdrMark",IF(ABS(E397-hdrspace)&lt;(Tolerance*hdrspace),"HdrSpace",(IF(ABS(E397-gap)&lt;(Tolerance*gap),"Gap",IF(ISNUMBER(SEARCH("BitMark",F398)),IF(ABS(E397-zerospace)&lt;(Tolerance*zerospace),1,0),"BitMark")))))</f>
        <v>0</v>
      </c>
    </row>
    <row r="398" spans="2:6" ht="15" customHeight="1" x14ac:dyDescent="0.25">
      <c r="B398" s="5" t="s">
        <v>401</v>
      </c>
      <c r="C398" s="3">
        <v>420</v>
      </c>
      <c r="D398" s="3">
        <v>212</v>
      </c>
      <c r="E398" s="3">
        <f t="shared" si="6"/>
        <v>424</v>
      </c>
      <c r="F398" s="3" t="str" cm="1">
        <f t="array" ref="F398">IF(ABS(E398-hdrmark)&lt;(Tolerance*hdrmark),"HdrMark",IF(ABS(E398-hdrspace)&lt;(Tolerance*hdrspace),"HdrSpace",(IF(ABS(E398-gap)&lt;(Tolerance*gap),"Gap",IF(ISNUMBER(SEARCH("BitMark",F399)),IF(ABS(E398-zerospace)&lt;(Tolerance*zerospace),1,0),"BitMark")))))</f>
        <v>BitMark</v>
      </c>
    </row>
    <row r="399" spans="2:6" x14ac:dyDescent="0.25">
      <c r="B399" s="5" t="s">
        <v>402</v>
      </c>
      <c r="C399" s="3">
        <v>446</v>
      </c>
      <c r="D399" s="3">
        <v>211</v>
      </c>
      <c r="E399" s="3">
        <f t="shared" si="6"/>
        <v>422</v>
      </c>
      <c r="F399" s="3" cm="1">
        <f t="array" ref="F399">IF(ABS(E399-hdrmark)&lt;(Tolerance*hdrmark),"HdrMark",IF(ABS(E399-hdrspace)&lt;(Tolerance*hdrspace),"HdrSpace",(IF(ABS(E399-gap)&lt;(Tolerance*gap),"Gap",IF(ISNUMBER(SEARCH("BitMark",F400)),IF(ABS(E399-zerospace)&lt;(Tolerance*zerospace),1,0),"BitMark")))))</f>
        <v>0</v>
      </c>
    </row>
    <row r="400" spans="2:6" ht="15" customHeight="1" x14ac:dyDescent="0.25">
      <c r="B400" s="5" t="s">
        <v>403</v>
      </c>
      <c r="C400" s="3">
        <v>1280</v>
      </c>
      <c r="D400" s="3">
        <v>659</v>
      </c>
      <c r="E400" s="3">
        <f t="shared" si="6"/>
        <v>1318</v>
      </c>
      <c r="F400" s="3" t="str" cm="1">
        <f t="array" ref="F400">IF(ABS(E400-hdrmark)&lt;(Tolerance*hdrmark),"HdrMark",IF(ABS(E400-hdrspace)&lt;(Tolerance*hdrspace),"HdrSpace",(IF(ABS(E400-gap)&lt;(Tolerance*gap),"Gap",IF(ISNUMBER(SEARCH("BitMark",F401)),IF(ABS(E400-zerospace)&lt;(Tolerance*zerospace),1,0),"BitMark")))))</f>
        <v>BitMark</v>
      </c>
    </row>
    <row r="401" spans="2:6" x14ac:dyDescent="0.25">
      <c r="B401" s="5" t="s">
        <v>404</v>
      </c>
      <c r="C401" s="3">
        <v>444</v>
      </c>
      <c r="D401" s="3">
        <v>218</v>
      </c>
      <c r="E401" s="3">
        <f t="shared" si="6"/>
        <v>436</v>
      </c>
      <c r="F401" s="3" cm="1">
        <f t="array" ref="F401">IF(ABS(E401-hdrmark)&lt;(Tolerance*hdrmark),"HdrMark",IF(ABS(E401-hdrspace)&lt;(Tolerance*hdrspace),"HdrSpace",(IF(ABS(E401-gap)&lt;(Tolerance*gap),"Gap",IF(ISNUMBER(SEARCH("BitMark",F402)),IF(ABS(E401-zerospace)&lt;(Tolerance*zerospace),1,0),"BitMark")))))</f>
        <v>0</v>
      </c>
    </row>
    <row r="402" spans="2:6" ht="15" customHeight="1" x14ac:dyDescent="0.25">
      <c r="B402" s="5" t="s">
        <v>405</v>
      </c>
      <c r="C402" s="3">
        <v>1280</v>
      </c>
      <c r="D402" s="3">
        <v>647</v>
      </c>
      <c r="E402" s="3">
        <f t="shared" si="6"/>
        <v>1294</v>
      </c>
      <c r="F402" s="3" t="str" cm="1">
        <f t="array" ref="F402">IF(ABS(E402-hdrmark)&lt;(Tolerance*hdrmark),"HdrMark",IF(ABS(E402-hdrspace)&lt;(Tolerance*hdrspace),"HdrSpace",(IF(ABS(E402-gap)&lt;(Tolerance*gap),"Gap",IF(ISNUMBER(SEARCH("BitMark",F403)),IF(ABS(E402-zerospace)&lt;(Tolerance*zerospace),1,0),"BitMark")))))</f>
        <v>BitMark</v>
      </c>
    </row>
    <row r="403" spans="2:6" x14ac:dyDescent="0.25">
      <c r="B403" s="5" t="s">
        <v>406</v>
      </c>
      <c r="C403" s="3">
        <v>442</v>
      </c>
      <c r="D403" s="3">
        <v>216</v>
      </c>
      <c r="E403" s="3">
        <f t="shared" si="6"/>
        <v>432</v>
      </c>
      <c r="F403" s="3" cm="1">
        <f t="array" ref="F403">IF(ABS(E403-hdrmark)&lt;(Tolerance*hdrmark),"HdrMark",IF(ABS(E403-hdrspace)&lt;(Tolerance*hdrspace),"HdrSpace",(IF(ABS(E403-gap)&lt;(Tolerance*gap),"Gap",IF(ISNUMBER(SEARCH("BitMark",F404)),IF(ABS(E403-zerospace)&lt;(Tolerance*zerospace),1,0),"BitMark")))))</f>
        <v>0</v>
      </c>
    </row>
    <row r="404" spans="2:6" ht="15" customHeight="1" x14ac:dyDescent="0.25">
      <c r="B404" s="5" t="s">
        <v>407</v>
      </c>
      <c r="C404" s="3">
        <v>420</v>
      </c>
      <c r="D404" s="3">
        <v>208</v>
      </c>
      <c r="E404" s="3">
        <f t="shared" si="6"/>
        <v>416</v>
      </c>
      <c r="F404" s="3" t="str" cm="1">
        <f t="array" ref="F404">IF(ABS(E404-hdrmark)&lt;(Tolerance*hdrmark),"HdrMark",IF(ABS(E404-hdrspace)&lt;(Tolerance*hdrspace),"HdrSpace",(IF(ABS(E404-gap)&lt;(Tolerance*gap),"Gap",IF(ISNUMBER(SEARCH("BitMark",F405)),IF(ABS(E404-zerospace)&lt;(Tolerance*zerospace),1,0),"BitMark")))))</f>
        <v>BitMark</v>
      </c>
    </row>
    <row r="405" spans="2:6" x14ac:dyDescent="0.25">
      <c r="B405" s="5" t="s">
        <v>408</v>
      </c>
      <c r="C405" s="3">
        <v>446</v>
      </c>
      <c r="D405" s="3">
        <v>214</v>
      </c>
      <c r="E405" s="3">
        <f t="shared" si="6"/>
        <v>428</v>
      </c>
      <c r="F405" s="3" cm="1">
        <f t="array" ref="F405">IF(ABS(E405-hdrmark)&lt;(Tolerance*hdrmark),"HdrMark",IF(ABS(E405-hdrspace)&lt;(Tolerance*hdrspace),"HdrSpace",(IF(ABS(E405-gap)&lt;(Tolerance*gap),"Gap",IF(ISNUMBER(SEARCH("BitMark",F406)),IF(ABS(E405-zerospace)&lt;(Tolerance*zerospace),1,0),"BitMark")))))</f>
        <v>0</v>
      </c>
    </row>
    <row r="406" spans="2:6" ht="15" customHeight="1" x14ac:dyDescent="0.25">
      <c r="B406" s="5" t="s">
        <v>409</v>
      </c>
      <c r="C406" s="3">
        <v>416</v>
      </c>
      <c r="D406" s="3">
        <v>220</v>
      </c>
      <c r="E406" s="3">
        <f t="shared" si="6"/>
        <v>440</v>
      </c>
      <c r="F406" s="3" t="str" cm="1">
        <f t="array" ref="F406">IF(ABS(E406-hdrmark)&lt;(Tolerance*hdrmark),"HdrMark",IF(ABS(E406-hdrspace)&lt;(Tolerance*hdrspace),"HdrSpace",(IF(ABS(E406-gap)&lt;(Tolerance*gap),"Gap",IF(ISNUMBER(SEARCH("BitMark",F407)),IF(ABS(E406-zerospace)&lt;(Tolerance*zerospace),1,0),"BitMark")))))</f>
        <v>BitMark</v>
      </c>
    </row>
    <row r="407" spans="2:6" x14ac:dyDescent="0.25">
      <c r="B407" s="5" t="s">
        <v>410</v>
      </c>
      <c r="C407" s="3">
        <v>438</v>
      </c>
      <c r="D407" s="3">
        <v>209</v>
      </c>
      <c r="E407" s="3">
        <f t="shared" si="6"/>
        <v>418</v>
      </c>
      <c r="F407" s="3" cm="1">
        <f t="array" ref="F407">IF(ABS(E407-hdrmark)&lt;(Tolerance*hdrmark),"HdrMark",IF(ABS(E407-hdrspace)&lt;(Tolerance*hdrspace),"HdrSpace",(IF(ABS(E407-gap)&lt;(Tolerance*gap),"Gap",IF(ISNUMBER(SEARCH("BitMark",F408)),IF(ABS(E407-zerospace)&lt;(Tolerance*zerospace),1,0),"BitMark")))))</f>
        <v>0</v>
      </c>
    </row>
    <row r="408" spans="2:6" ht="15" customHeight="1" x14ac:dyDescent="0.25">
      <c r="B408" s="5" t="s">
        <v>411</v>
      </c>
      <c r="C408" s="3">
        <v>422</v>
      </c>
      <c r="D408" s="3">
        <v>221</v>
      </c>
      <c r="E408" s="3">
        <f t="shared" si="6"/>
        <v>442</v>
      </c>
      <c r="F408" s="3" t="str" cm="1">
        <f t="array" ref="F408">IF(ABS(E408-hdrmark)&lt;(Tolerance*hdrmark),"HdrMark",IF(ABS(E408-hdrspace)&lt;(Tolerance*hdrspace),"HdrSpace",(IF(ABS(E408-gap)&lt;(Tolerance*gap),"Gap",IF(ISNUMBER(SEARCH("BitMark",F409)),IF(ABS(E408-zerospace)&lt;(Tolerance*zerospace),1,0),"BitMark")))))</f>
        <v>BitMark</v>
      </c>
    </row>
    <row r="409" spans="2:6" x14ac:dyDescent="0.25">
      <c r="B409" s="5" t="s">
        <v>412</v>
      </c>
      <c r="C409" s="3">
        <v>446</v>
      </c>
      <c r="D409" s="3">
        <v>216</v>
      </c>
      <c r="E409" s="3">
        <f t="shared" si="6"/>
        <v>432</v>
      </c>
      <c r="F409" s="3" cm="1">
        <f t="array" ref="F409">IF(ABS(E409-hdrmark)&lt;(Tolerance*hdrmark),"HdrMark",IF(ABS(E409-hdrspace)&lt;(Tolerance*hdrspace),"HdrSpace",(IF(ABS(E409-gap)&lt;(Tolerance*gap),"Gap",IF(ISNUMBER(SEARCH("BitMark",F410)),IF(ABS(E409-zerospace)&lt;(Tolerance*zerospace),1,0),"BitMark")))))</f>
        <v>0</v>
      </c>
    </row>
    <row r="410" spans="2:6" ht="15" customHeight="1" x14ac:dyDescent="0.25">
      <c r="B410" s="5" t="s">
        <v>413</v>
      </c>
      <c r="C410" s="3">
        <v>416</v>
      </c>
      <c r="D410" s="3">
        <v>224</v>
      </c>
      <c r="E410" s="3">
        <f t="shared" si="6"/>
        <v>448</v>
      </c>
      <c r="F410" s="3" t="str" cm="1">
        <f t="array" ref="F410">IF(ABS(E410-hdrmark)&lt;(Tolerance*hdrmark),"HdrMark",IF(ABS(E410-hdrspace)&lt;(Tolerance*hdrspace),"HdrSpace",(IF(ABS(E410-gap)&lt;(Tolerance*gap),"Gap",IF(ISNUMBER(SEARCH("BitMark",F411)),IF(ABS(E410-zerospace)&lt;(Tolerance*zerospace),1,0),"BitMark")))))</f>
        <v>BitMark</v>
      </c>
    </row>
    <row r="411" spans="2:6" x14ac:dyDescent="0.25">
      <c r="B411" s="5" t="s">
        <v>414</v>
      </c>
      <c r="C411" s="3">
        <v>450</v>
      </c>
      <c r="D411" s="3">
        <v>211</v>
      </c>
      <c r="E411" s="3">
        <f t="shared" si="6"/>
        <v>422</v>
      </c>
      <c r="F411" s="3" cm="1">
        <f t="array" ref="F411">IF(ABS(E411-hdrmark)&lt;(Tolerance*hdrmark),"HdrMark",IF(ABS(E411-hdrspace)&lt;(Tolerance*hdrspace),"HdrSpace",(IF(ABS(E411-gap)&lt;(Tolerance*gap),"Gap",IF(ISNUMBER(SEARCH("BitMark",F412)),IF(ABS(E411-zerospace)&lt;(Tolerance*zerospace),1,0),"BitMark")))))</f>
        <v>0</v>
      </c>
    </row>
    <row r="412" spans="2:6" ht="15" customHeight="1" x14ac:dyDescent="0.25">
      <c r="B412" s="5" t="s">
        <v>415</v>
      </c>
      <c r="C412" s="3">
        <v>412</v>
      </c>
      <c r="D412" s="3">
        <v>224</v>
      </c>
      <c r="E412" s="3">
        <f t="shared" si="6"/>
        <v>448</v>
      </c>
      <c r="F412" s="3" t="str" cm="1">
        <f t="array" ref="F412">IF(ABS(E412-hdrmark)&lt;(Tolerance*hdrmark),"HdrMark",IF(ABS(E412-hdrspace)&lt;(Tolerance*hdrspace),"HdrSpace",(IF(ABS(E412-gap)&lt;(Tolerance*gap),"Gap",IF(ISNUMBER(SEARCH("BitMark",F413)),IF(ABS(E412-zerospace)&lt;(Tolerance*zerospace),1,0),"BitMark")))))</f>
        <v>BitMark</v>
      </c>
    </row>
    <row r="413" spans="2:6" x14ac:dyDescent="0.25">
      <c r="B413" s="5" t="s">
        <v>416</v>
      </c>
      <c r="C413" s="3">
        <v>444</v>
      </c>
      <c r="D413" s="3">
        <v>205</v>
      </c>
      <c r="E413" s="3">
        <f t="shared" si="6"/>
        <v>410</v>
      </c>
      <c r="F413" s="3" cm="1">
        <f t="array" ref="F413">IF(ABS(E413-hdrmark)&lt;(Tolerance*hdrmark),"HdrMark",IF(ABS(E413-hdrspace)&lt;(Tolerance*hdrspace),"HdrSpace",(IF(ABS(E413-gap)&lt;(Tolerance*gap),"Gap",IF(ISNUMBER(SEARCH("BitMark",F414)),IF(ABS(E413-zerospace)&lt;(Tolerance*zerospace),1,0),"BitMark")))))</f>
        <v>0</v>
      </c>
    </row>
    <row r="414" spans="2:6" ht="15" customHeight="1" x14ac:dyDescent="0.25">
      <c r="B414" s="5" t="s">
        <v>417</v>
      </c>
      <c r="C414" s="3">
        <v>422</v>
      </c>
      <c r="D414" s="3">
        <v>224</v>
      </c>
      <c r="E414" s="3">
        <f t="shared" si="6"/>
        <v>448</v>
      </c>
      <c r="F414" s="3" t="str" cm="1">
        <f t="array" ref="F414">IF(ABS(E414-hdrmark)&lt;(Tolerance*hdrmark),"HdrMark",IF(ABS(E414-hdrspace)&lt;(Tolerance*hdrspace),"HdrSpace",(IF(ABS(E414-gap)&lt;(Tolerance*gap),"Gap",IF(ISNUMBER(SEARCH("BitMark",F415)),IF(ABS(E414-zerospace)&lt;(Tolerance*zerospace),1,0),"BitMark")))))</f>
        <v>BitMark</v>
      </c>
    </row>
    <row r="415" spans="2:6" x14ac:dyDescent="0.25">
      <c r="B415" s="5" t="s">
        <v>418</v>
      </c>
      <c r="C415" s="3">
        <v>444</v>
      </c>
      <c r="D415" s="3">
        <v>211</v>
      </c>
      <c r="E415" s="3">
        <f t="shared" si="6"/>
        <v>422</v>
      </c>
      <c r="F415" s="3" cm="1">
        <f t="array" ref="F415">IF(ABS(E415-hdrmark)&lt;(Tolerance*hdrmark),"HdrMark",IF(ABS(E415-hdrspace)&lt;(Tolerance*hdrspace),"HdrSpace",(IF(ABS(E415-gap)&lt;(Tolerance*gap),"Gap",IF(ISNUMBER(SEARCH("BitMark",F416)),IF(ABS(E415-zerospace)&lt;(Tolerance*zerospace),1,0),"BitMark")))))</f>
        <v>0</v>
      </c>
    </row>
    <row r="416" spans="2:6" ht="15" customHeight="1" x14ac:dyDescent="0.25">
      <c r="B416" s="5" t="s">
        <v>419</v>
      </c>
      <c r="C416" s="3">
        <v>414</v>
      </c>
      <c r="D416" s="3">
        <v>223</v>
      </c>
      <c r="E416" s="3">
        <f t="shared" si="6"/>
        <v>446</v>
      </c>
      <c r="F416" s="3" t="str" cm="1">
        <f t="array" ref="F416">IF(ABS(E416-hdrmark)&lt;(Tolerance*hdrmark),"HdrMark",IF(ABS(E416-hdrspace)&lt;(Tolerance*hdrspace),"HdrSpace",(IF(ABS(E416-gap)&lt;(Tolerance*gap),"Gap",IF(ISNUMBER(SEARCH("BitMark",F417)),IF(ABS(E416-zerospace)&lt;(Tolerance*zerospace),1,0),"BitMark")))))</f>
        <v>BitMark</v>
      </c>
    </row>
    <row r="417" spans="2:6" x14ac:dyDescent="0.25">
      <c r="B417" s="5" t="s">
        <v>420</v>
      </c>
      <c r="C417" s="3">
        <v>442</v>
      </c>
      <c r="D417" s="3">
        <v>213</v>
      </c>
      <c r="E417" s="3">
        <f t="shared" si="6"/>
        <v>426</v>
      </c>
      <c r="F417" s="3" cm="1">
        <f t="array" ref="F417">IF(ABS(E417-hdrmark)&lt;(Tolerance*hdrmark),"HdrMark",IF(ABS(E417-hdrspace)&lt;(Tolerance*hdrspace),"HdrSpace",(IF(ABS(E417-gap)&lt;(Tolerance*gap),"Gap",IF(ISNUMBER(SEARCH("BitMark",F418)),IF(ABS(E417-zerospace)&lt;(Tolerance*zerospace),1,0),"BitMark")))))</f>
        <v>0</v>
      </c>
    </row>
    <row r="418" spans="2:6" ht="15" customHeight="1" x14ac:dyDescent="0.25">
      <c r="B418" s="5" t="s">
        <v>421</v>
      </c>
      <c r="C418" s="3">
        <v>420</v>
      </c>
      <c r="D418" s="3">
        <v>218</v>
      </c>
      <c r="E418" s="3">
        <f t="shared" si="6"/>
        <v>436</v>
      </c>
      <c r="F418" s="3" t="str" cm="1">
        <f t="array" ref="F418">IF(ABS(E418-hdrmark)&lt;(Tolerance*hdrmark),"HdrMark",IF(ABS(E418-hdrspace)&lt;(Tolerance*hdrspace),"HdrSpace",(IF(ABS(E418-gap)&lt;(Tolerance*gap),"Gap",IF(ISNUMBER(SEARCH("BitMark",F419)),IF(ABS(E418-zerospace)&lt;(Tolerance*zerospace),1,0),"BitMark")))))</f>
        <v>BitMark</v>
      </c>
    </row>
    <row r="419" spans="2:6" x14ac:dyDescent="0.25">
      <c r="B419" s="5" t="s">
        <v>422</v>
      </c>
      <c r="C419" s="3">
        <v>446</v>
      </c>
      <c r="D419" s="3">
        <v>212</v>
      </c>
      <c r="E419" s="3">
        <f t="shared" si="6"/>
        <v>424</v>
      </c>
      <c r="F419" s="3" cm="1">
        <f t="array" ref="F419">IF(ABS(E419-hdrmark)&lt;(Tolerance*hdrmark),"HdrMark",IF(ABS(E419-hdrspace)&lt;(Tolerance*hdrspace),"HdrSpace",(IF(ABS(E419-gap)&lt;(Tolerance*gap),"Gap",IF(ISNUMBER(SEARCH("BitMark",F420)),IF(ABS(E419-zerospace)&lt;(Tolerance*zerospace),1,0),"BitMark")))))</f>
        <v>0</v>
      </c>
    </row>
    <row r="420" spans="2:6" ht="15" customHeight="1" x14ac:dyDescent="0.25">
      <c r="B420" s="5" t="s">
        <v>423</v>
      </c>
      <c r="C420" s="3">
        <v>416</v>
      </c>
      <c r="D420" s="3">
        <v>222</v>
      </c>
      <c r="E420" s="3">
        <f t="shared" si="6"/>
        <v>444</v>
      </c>
      <c r="F420" s="3" t="str" cm="1">
        <f t="array" ref="F420">IF(ABS(E420-hdrmark)&lt;(Tolerance*hdrmark),"HdrMark",IF(ABS(E420-hdrspace)&lt;(Tolerance*hdrspace),"HdrSpace",(IF(ABS(E420-gap)&lt;(Tolerance*gap),"Gap",IF(ISNUMBER(SEARCH("BitMark",F421)),IF(ABS(E420-zerospace)&lt;(Tolerance*zerospace),1,0),"BitMark")))))</f>
        <v>BitMark</v>
      </c>
    </row>
    <row r="421" spans="2:6" x14ac:dyDescent="0.25">
      <c r="B421" s="5" t="s">
        <v>424</v>
      </c>
      <c r="C421" s="3">
        <v>440</v>
      </c>
      <c r="D421" s="3">
        <v>208</v>
      </c>
      <c r="E421" s="3">
        <f t="shared" si="6"/>
        <v>416</v>
      </c>
      <c r="F421" s="3" cm="1">
        <f t="array" ref="F421">IF(ABS(E421-hdrmark)&lt;(Tolerance*hdrmark),"HdrMark",IF(ABS(E421-hdrspace)&lt;(Tolerance*hdrspace),"HdrSpace",(IF(ABS(E421-gap)&lt;(Tolerance*gap),"Gap",IF(ISNUMBER(SEARCH("BitMark",F422)),IF(ABS(E421-zerospace)&lt;(Tolerance*zerospace),1,0),"BitMark")))))</f>
        <v>0</v>
      </c>
    </row>
    <row r="422" spans="2:6" ht="15" customHeight="1" x14ac:dyDescent="0.25">
      <c r="B422" s="5" t="s">
        <v>425</v>
      </c>
      <c r="C422" s="3">
        <v>422</v>
      </c>
      <c r="D422" s="3">
        <v>221</v>
      </c>
      <c r="E422" s="3">
        <f t="shared" si="6"/>
        <v>442</v>
      </c>
      <c r="F422" s="3" t="str" cm="1">
        <f t="array" ref="F422">IF(ABS(E422-hdrmark)&lt;(Tolerance*hdrmark),"HdrMark",IF(ABS(E422-hdrspace)&lt;(Tolerance*hdrspace),"HdrSpace",(IF(ABS(E422-gap)&lt;(Tolerance*gap),"Gap",IF(ISNUMBER(SEARCH("BitMark",F423)),IF(ABS(E422-zerospace)&lt;(Tolerance*zerospace),1,0),"BitMark")))))</f>
        <v>BitMark</v>
      </c>
    </row>
    <row r="423" spans="2:6" x14ac:dyDescent="0.25">
      <c r="B423" s="5" t="s">
        <v>426</v>
      </c>
      <c r="C423" s="3">
        <v>446</v>
      </c>
      <c r="D423" s="3">
        <v>220</v>
      </c>
      <c r="E423" s="3">
        <f t="shared" si="6"/>
        <v>440</v>
      </c>
      <c r="F423" s="3" cm="1">
        <f t="array" ref="F423">IF(ABS(E423-hdrmark)&lt;(Tolerance*hdrmark),"HdrMark",IF(ABS(E423-hdrspace)&lt;(Tolerance*hdrspace),"HdrSpace",(IF(ABS(E423-gap)&lt;(Tolerance*gap),"Gap",IF(ISNUMBER(SEARCH("BitMark",F424)),IF(ABS(E423-zerospace)&lt;(Tolerance*zerospace),1,0),"BitMark")))))</f>
        <v>0</v>
      </c>
    </row>
    <row r="424" spans="2:6" ht="15" customHeight="1" x14ac:dyDescent="0.25">
      <c r="B424" s="5" t="s">
        <v>427</v>
      </c>
      <c r="C424" s="3">
        <v>416</v>
      </c>
      <c r="D424" s="3">
        <v>220</v>
      </c>
      <c r="E424" s="3">
        <f t="shared" si="6"/>
        <v>440</v>
      </c>
      <c r="F424" s="3" t="str" cm="1">
        <f t="array" ref="F424">IF(ABS(E424-hdrmark)&lt;(Tolerance*hdrmark),"HdrMark",IF(ABS(E424-hdrspace)&lt;(Tolerance*hdrspace),"HdrSpace",(IF(ABS(E424-gap)&lt;(Tolerance*gap),"Gap",IF(ISNUMBER(SEARCH("BitMark",F425)),IF(ABS(E424-zerospace)&lt;(Tolerance*zerospace),1,0),"BitMark")))))</f>
        <v>BitMark</v>
      </c>
    </row>
    <row r="425" spans="2:6" x14ac:dyDescent="0.25">
      <c r="B425" s="5" t="s">
        <v>428</v>
      </c>
      <c r="C425" s="3">
        <v>450</v>
      </c>
      <c r="D425" s="3">
        <v>211</v>
      </c>
      <c r="E425" s="3">
        <f t="shared" si="6"/>
        <v>422</v>
      </c>
      <c r="F425" s="3" cm="1">
        <f t="array" ref="F425">IF(ABS(E425-hdrmark)&lt;(Tolerance*hdrmark),"HdrMark",IF(ABS(E425-hdrspace)&lt;(Tolerance*hdrspace),"HdrSpace",(IF(ABS(E425-gap)&lt;(Tolerance*gap),"Gap",IF(ISNUMBER(SEARCH("BitMark",F426)),IF(ABS(E425-zerospace)&lt;(Tolerance*zerospace),1,0),"BitMark")))))</f>
        <v>0</v>
      </c>
    </row>
    <row r="426" spans="2:6" ht="15" customHeight="1" x14ac:dyDescent="0.25">
      <c r="B426" s="5" t="s">
        <v>429</v>
      </c>
      <c r="C426" s="3">
        <v>412</v>
      </c>
      <c r="D426" s="3">
        <v>224</v>
      </c>
      <c r="E426" s="3">
        <f t="shared" si="6"/>
        <v>448</v>
      </c>
      <c r="F426" s="3" t="str" cm="1">
        <f t="array" ref="F426">IF(ABS(E426-hdrmark)&lt;(Tolerance*hdrmark),"HdrMark",IF(ABS(E426-hdrspace)&lt;(Tolerance*hdrspace),"HdrSpace",(IF(ABS(E426-gap)&lt;(Tolerance*gap),"Gap",IF(ISNUMBER(SEARCH("BitMark",F427)),IF(ABS(E426-zerospace)&lt;(Tolerance*zerospace),1,0),"BitMark")))))</f>
        <v>BitMark</v>
      </c>
    </row>
    <row r="427" spans="2:6" x14ac:dyDescent="0.25">
      <c r="B427" s="5" t="s">
        <v>430</v>
      </c>
      <c r="C427" s="3">
        <v>442</v>
      </c>
      <c r="D427" s="3">
        <v>206</v>
      </c>
      <c r="E427" s="3">
        <f t="shared" si="6"/>
        <v>412</v>
      </c>
      <c r="F427" s="3" cm="1">
        <f t="array" ref="F427">IF(ABS(E427-hdrmark)&lt;(Tolerance*hdrmark),"HdrMark",IF(ABS(E427-hdrspace)&lt;(Tolerance*hdrspace),"HdrSpace",(IF(ABS(E427-gap)&lt;(Tolerance*gap),"Gap",IF(ISNUMBER(SEARCH("BitMark",F428)),IF(ABS(E427-zerospace)&lt;(Tolerance*zerospace),1,0),"BitMark")))))</f>
        <v>0</v>
      </c>
    </row>
    <row r="428" spans="2:6" ht="15" customHeight="1" x14ac:dyDescent="0.25">
      <c r="B428" s="5" t="s">
        <v>431</v>
      </c>
      <c r="C428" s="3">
        <v>420</v>
      </c>
      <c r="D428" s="3">
        <v>223</v>
      </c>
      <c r="E428" s="3">
        <f t="shared" si="6"/>
        <v>446</v>
      </c>
      <c r="F428" s="3" t="str" cm="1">
        <f t="array" ref="F428">IF(ABS(E428-hdrmark)&lt;(Tolerance*hdrmark),"HdrMark",IF(ABS(E428-hdrspace)&lt;(Tolerance*hdrspace),"HdrSpace",(IF(ABS(E428-gap)&lt;(Tolerance*gap),"Gap",IF(ISNUMBER(SEARCH("BitMark",F429)),IF(ABS(E428-zerospace)&lt;(Tolerance*zerospace),1,0),"BitMark")))))</f>
        <v>BitMark</v>
      </c>
    </row>
    <row r="429" spans="2:6" x14ac:dyDescent="0.25">
      <c r="B429" s="5" t="s">
        <v>432</v>
      </c>
      <c r="C429" s="3">
        <v>448</v>
      </c>
      <c r="D429" s="3">
        <v>210</v>
      </c>
      <c r="E429" s="3">
        <f t="shared" si="6"/>
        <v>420</v>
      </c>
      <c r="F429" s="3" cm="1">
        <f t="array" ref="F429">IF(ABS(E429-hdrmark)&lt;(Tolerance*hdrmark),"HdrMark",IF(ABS(E429-hdrspace)&lt;(Tolerance*hdrspace),"HdrSpace",(IF(ABS(E429-gap)&lt;(Tolerance*gap),"Gap",IF(ISNUMBER(SEARCH("BitMark",F430)),IF(ABS(E429-zerospace)&lt;(Tolerance*zerospace),1,0),"BitMark")))))</f>
        <v>0</v>
      </c>
    </row>
    <row r="430" spans="2:6" ht="15" customHeight="1" x14ac:dyDescent="0.25">
      <c r="B430" s="5" t="s">
        <v>433</v>
      </c>
      <c r="C430" s="3">
        <v>414</v>
      </c>
      <c r="D430" s="3">
        <v>225</v>
      </c>
      <c r="E430" s="3">
        <f t="shared" si="6"/>
        <v>450</v>
      </c>
      <c r="F430" s="3" t="str" cm="1">
        <f t="array" ref="F430">IF(ABS(E430-hdrmark)&lt;(Tolerance*hdrmark),"HdrMark",IF(ABS(E430-hdrspace)&lt;(Tolerance*hdrspace),"HdrSpace",(IF(ABS(E430-gap)&lt;(Tolerance*gap),"Gap",IF(ISNUMBER(SEARCH("BitMark",F431)),IF(ABS(E430-zerospace)&lt;(Tolerance*zerospace),1,0),"BitMark")))))</f>
        <v>BitMark</v>
      </c>
    </row>
    <row r="431" spans="2:6" x14ac:dyDescent="0.25">
      <c r="B431" s="5" t="s">
        <v>434</v>
      </c>
      <c r="C431" s="3">
        <v>442</v>
      </c>
      <c r="D431" s="3">
        <v>219</v>
      </c>
      <c r="E431" s="3">
        <f t="shared" si="6"/>
        <v>438</v>
      </c>
      <c r="F431" s="3" cm="1">
        <f t="array" ref="F431">IF(ABS(E431-hdrmark)&lt;(Tolerance*hdrmark),"HdrMark",IF(ABS(E431-hdrspace)&lt;(Tolerance*hdrspace),"HdrSpace",(IF(ABS(E431-gap)&lt;(Tolerance*gap),"Gap",IF(ISNUMBER(SEARCH("BitMark",F432)),IF(ABS(E431-zerospace)&lt;(Tolerance*zerospace),1,0),"BitMark")))))</f>
        <v>0</v>
      </c>
    </row>
    <row r="432" spans="2:6" ht="15" customHeight="1" x14ac:dyDescent="0.25">
      <c r="B432" s="5" t="s">
        <v>435</v>
      </c>
      <c r="C432" s="3">
        <v>420</v>
      </c>
      <c r="D432" s="3">
        <v>210</v>
      </c>
      <c r="E432" s="3">
        <f t="shared" si="6"/>
        <v>420</v>
      </c>
      <c r="F432" s="3" t="str" cm="1">
        <f t="array" ref="F432">IF(ABS(E432-hdrmark)&lt;(Tolerance*hdrmark),"HdrMark",IF(ABS(E432-hdrspace)&lt;(Tolerance*hdrspace),"HdrSpace",(IF(ABS(E432-gap)&lt;(Tolerance*gap),"Gap",IF(ISNUMBER(SEARCH("BitMark",F433)),IF(ABS(E432-zerospace)&lt;(Tolerance*zerospace),1,0),"BitMark")))))</f>
        <v>BitMark</v>
      </c>
    </row>
    <row r="433" spans="2:6" x14ac:dyDescent="0.25">
      <c r="B433" s="5" t="s">
        <v>436</v>
      </c>
      <c r="C433" s="3">
        <v>446</v>
      </c>
      <c r="D433" s="3">
        <v>213</v>
      </c>
      <c r="E433" s="3">
        <f t="shared" si="6"/>
        <v>426</v>
      </c>
      <c r="F433" s="3" cm="1">
        <f t="array" ref="F433">IF(ABS(E433-hdrmark)&lt;(Tolerance*hdrmark),"HdrMark",IF(ABS(E433-hdrspace)&lt;(Tolerance*hdrspace),"HdrSpace",(IF(ABS(E433-gap)&lt;(Tolerance*gap),"Gap",IF(ISNUMBER(SEARCH("BitMark",F434)),IF(ABS(E433-zerospace)&lt;(Tolerance*zerospace),1,0),"BitMark")))))</f>
        <v>0</v>
      </c>
    </row>
    <row r="434" spans="2:6" ht="15" customHeight="1" x14ac:dyDescent="0.25">
      <c r="B434" s="5" t="s">
        <v>437</v>
      </c>
      <c r="C434" s="3">
        <v>416</v>
      </c>
      <c r="D434" s="3">
        <v>222</v>
      </c>
      <c r="E434" s="3">
        <f t="shared" si="6"/>
        <v>444</v>
      </c>
      <c r="F434" s="3" t="str" cm="1">
        <f t="array" ref="F434">IF(ABS(E434-hdrmark)&lt;(Tolerance*hdrmark),"HdrMark",IF(ABS(E434-hdrspace)&lt;(Tolerance*hdrspace),"HdrSpace",(IF(ABS(E434-gap)&lt;(Tolerance*gap),"Gap",IF(ISNUMBER(SEARCH("BitMark",F435)),IF(ABS(E434-zerospace)&lt;(Tolerance*zerospace),1,0),"BitMark")))))</f>
        <v>BitMark</v>
      </c>
    </row>
    <row r="435" spans="2:6" x14ac:dyDescent="0.25">
      <c r="B435" s="5" t="s">
        <v>438</v>
      </c>
      <c r="C435" s="3">
        <v>440</v>
      </c>
      <c r="D435" s="3">
        <v>208</v>
      </c>
      <c r="E435" s="3">
        <f t="shared" si="6"/>
        <v>416</v>
      </c>
      <c r="F435" s="3" cm="1">
        <f t="array" ref="F435">IF(ABS(E435-hdrmark)&lt;(Tolerance*hdrmark),"HdrMark",IF(ABS(E435-hdrspace)&lt;(Tolerance*hdrspace),"HdrSpace",(IF(ABS(E435-gap)&lt;(Tolerance*gap),"Gap",IF(ISNUMBER(SEARCH("BitMark",F436)),IF(ABS(E435-zerospace)&lt;(Tolerance*zerospace),1,0),"BitMark")))))</f>
        <v>0</v>
      </c>
    </row>
    <row r="436" spans="2:6" ht="15" customHeight="1" x14ac:dyDescent="0.25">
      <c r="B436" s="5" t="s">
        <v>439</v>
      </c>
      <c r="C436" s="3">
        <v>1286</v>
      </c>
      <c r="D436" s="3">
        <v>656</v>
      </c>
      <c r="E436" s="3">
        <f t="shared" si="6"/>
        <v>1312</v>
      </c>
      <c r="F436" s="3" t="str" cm="1">
        <f t="array" ref="F436">IF(ABS(E436-hdrmark)&lt;(Tolerance*hdrmark),"HdrMark",IF(ABS(E436-hdrspace)&lt;(Tolerance*hdrspace),"HdrSpace",(IF(ABS(E436-gap)&lt;(Tolerance*gap),"Gap",IF(ISNUMBER(SEARCH("BitMark",F437)),IF(ABS(E436-zerospace)&lt;(Tolerance*zerospace),1,0),"BitMark")))))</f>
        <v>BitMark</v>
      </c>
    </row>
    <row r="437" spans="2:6" x14ac:dyDescent="0.25">
      <c r="B437" s="5" t="s">
        <v>440</v>
      </c>
      <c r="C437" s="3">
        <v>448</v>
      </c>
      <c r="D437" s="3">
        <v>226</v>
      </c>
      <c r="E437" s="3">
        <f t="shared" si="6"/>
        <v>452</v>
      </c>
      <c r="F437" s="3" cm="1">
        <f t="array" ref="F437">IF(ABS(E437-hdrmark)&lt;(Tolerance*hdrmark),"HdrMark",IF(ABS(E437-hdrspace)&lt;(Tolerance*hdrspace),"HdrSpace",(IF(ABS(E437-gap)&lt;(Tolerance*gap),"Gap",IF(ISNUMBER(SEARCH("BitMark",F438)),IF(ABS(E437-zerospace)&lt;(Tolerance*zerospace),1,0),"BitMark")))))</f>
        <v>0</v>
      </c>
    </row>
    <row r="438" spans="2:6" ht="15" customHeight="1" x14ac:dyDescent="0.25">
      <c r="B438" s="5" t="s">
        <v>441</v>
      </c>
      <c r="C438" s="3">
        <v>1276</v>
      </c>
      <c r="D438" s="3">
        <v>644</v>
      </c>
      <c r="E438" s="3">
        <f t="shared" si="6"/>
        <v>1288</v>
      </c>
      <c r="F438" s="3" t="str" cm="1">
        <f t="array" ref="F438">IF(ABS(E438-hdrmark)&lt;(Tolerance*hdrmark),"HdrMark",IF(ABS(E438-hdrspace)&lt;(Tolerance*hdrspace),"HdrSpace",(IF(ABS(E438-gap)&lt;(Tolerance*gap),"Gap",IF(ISNUMBER(SEARCH("BitMark",F439)),IF(ABS(E438-zerospace)&lt;(Tolerance*zerospace),1,0),"BitMark")))))</f>
        <v>BitMark</v>
      </c>
    </row>
    <row r="439" spans="2:6" x14ac:dyDescent="0.25">
      <c r="B439" s="5" t="s">
        <v>442</v>
      </c>
      <c r="C439" s="3">
        <v>446</v>
      </c>
      <c r="D439" s="3">
        <v>218</v>
      </c>
      <c r="E439" s="3">
        <f t="shared" si="6"/>
        <v>436</v>
      </c>
      <c r="F439" s="3" cm="1">
        <f t="array" ref="F439">IF(ABS(E439-hdrmark)&lt;(Tolerance*hdrmark),"HdrMark",IF(ABS(E439-hdrspace)&lt;(Tolerance*hdrspace),"HdrSpace",(IF(ABS(E439-gap)&lt;(Tolerance*gap),"Gap",IF(ISNUMBER(SEARCH("BitMark",F440)),IF(ABS(E439-zerospace)&lt;(Tolerance*zerospace),1,0),"BitMark")))))</f>
        <v>0</v>
      </c>
    </row>
    <row r="440" spans="2:6" ht="15" customHeight="1" x14ac:dyDescent="0.25">
      <c r="B440" s="5" t="s">
        <v>443</v>
      </c>
      <c r="C440" s="3">
        <v>414</v>
      </c>
      <c r="D440" s="3">
        <v>200</v>
      </c>
      <c r="E440" s="3">
        <f t="shared" si="6"/>
        <v>400</v>
      </c>
      <c r="F440" s="3" t="str" cm="1">
        <f t="array" ref="F440">IF(ABS(E440-hdrmark)&lt;(Tolerance*hdrmark),"HdrMark",IF(ABS(E440-hdrspace)&lt;(Tolerance*hdrspace),"HdrSpace",(IF(ABS(E440-gap)&lt;(Tolerance*gap),"Gap",IF(ISNUMBER(SEARCH("BitMark",F441)),IF(ABS(E440-zerospace)&lt;(Tolerance*zerospace),1,0),"BitMark")))))</f>
        <v>BitMark</v>
      </c>
    </row>
    <row r="441" spans="2:6" x14ac:dyDescent="0.25">
      <c r="B441" s="5" t="s">
        <v>444</v>
      </c>
      <c r="C441" s="3">
        <v>442</v>
      </c>
      <c r="D441" s="3">
        <v>217</v>
      </c>
      <c r="E441" s="3">
        <f t="shared" si="6"/>
        <v>434</v>
      </c>
      <c r="F441" s="3" cm="1">
        <f t="array" ref="F441">IF(ABS(E441-hdrmark)&lt;(Tolerance*hdrmark),"HdrMark",IF(ABS(E441-hdrspace)&lt;(Tolerance*hdrspace),"HdrSpace",(IF(ABS(E441-gap)&lt;(Tolerance*gap),"Gap",IF(ISNUMBER(SEARCH("BitMark",F442)),IF(ABS(E441-zerospace)&lt;(Tolerance*zerospace),1,0),"BitMark")))))</f>
        <v>0</v>
      </c>
    </row>
    <row r="442" spans="2:6" ht="15" customHeight="1" x14ac:dyDescent="0.25">
      <c r="B442" s="5" t="s">
        <v>445</v>
      </c>
      <c r="C442" s="3">
        <v>1284</v>
      </c>
      <c r="D442" s="3">
        <v>659</v>
      </c>
      <c r="E442" s="3">
        <f t="shared" si="6"/>
        <v>1318</v>
      </c>
      <c r="F442" s="3" t="str" cm="1">
        <f t="array" ref="F442">IF(ABS(E442-hdrmark)&lt;(Tolerance*hdrmark),"HdrMark",IF(ABS(E442-hdrspace)&lt;(Tolerance*hdrspace),"HdrSpace",(IF(ABS(E442-gap)&lt;(Tolerance*gap),"Gap",IF(ISNUMBER(SEARCH("BitMark",F443)),IF(ABS(E442-zerospace)&lt;(Tolerance*zerospace),1,0),"BitMark")))))</f>
        <v>BitMark</v>
      </c>
    </row>
    <row r="443" spans="2:6" x14ac:dyDescent="0.25">
      <c r="B443" s="5" t="s">
        <v>446</v>
      </c>
      <c r="C443" s="3">
        <v>440</v>
      </c>
      <c r="D443" s="3">
        <v>218</v>
      </c>
      <c r="E443" s="3">
        <f t="shared" si="6"/>
        <v>436</v>
      </c>
      <c r="F443" s="3" cm="1">
        <f t="array" ref="F443">IF(ABS(E443-hdrmark)&lt;(Tolerance*hdrmark),"HdrMark",IF(ABS(E443-hdrspace)&lt;(Tolerance*hdrspace),"HdrSpace",(IF(ABS(E443-gap)&lt;(Tolerance*gap),"Gap",IF(ISNUMBER(SEARCH("BitMark",F444)),IF(ABS(E443-zerospace)&lt;(Tolerance*zerospace),1,0),"BitMark")))))</f>
        <v>0</v>
      </c>
    </row>
    <row r="444" spans="2:6" ht="15" customHeight="1" x14ac:dyDescent="0.25">
      <c r="B444" s="5" t="s">
        <v>447</v>
      </c>
      <c r="C444" s="3">
        <v>1284</v>
      </c>
      <c r="D444" s="3">
        <v>640</v>
      </c>
      <c r="E444" s="3">
        <f t="shared" si="6"/>
        <v>1280</v>
      </c>
      <c r="F444" s="3" t="str" cm="1">
        <f t="array" ref="F444">IF(ABS(E444-hdrmark)&lt;(Tolerance*hdrmark),"HdrMark",IF(ABS(E444-hdrspace)&lt;(Tolerance*hdrspace),"HdrSpace",(IF(ABS(E444-gap)&lt;(Tolerance*gap),"Gap",IF(ISNUMBER(SEARCH("BitMark",F445)),IF(ABS(E444-zerospace)&lt;(Tolerance*zerospace),1,0),"BitMark")))))</f>
        <v>BitMark</v>
      </c>
    </row>
    <row r="445" spans="2:6" x14ac:dyDescent="0.25">
      <c r="B445" s="5" t="s">
        <v>448</v>
      </c>
      <c r="C445" s="3">
        <v>448</v>
      </c>
      <c r="D445" s="3">
        <v>228</v>
      </c>
      <c r="E445" s="3">
        <f t="shared" si="6"/>
        <v>456</v>
      </c>
      <c r="F445" s="3" cm="1">
        <f t="array" ref="F445">IF(ABS(E445-hdrmark)&lt;(Tolerance*hdrmark),"HdrMark",IF(ABS(E445-hdrspace)&lt;(Tolerance*hdrspace),"HdrSpace",(IF(ABS(E445-gap)&lt;(Tolerance*gap),"Gap",IF(ISNUMBER(SEARCH("BitMark",F446)),IF(ABS(E445-zerospace)&lt;(Tolerance*zerospace),1,0),"BitMark")))))</f>
        <v>0</v>
      </c>
    </row>
    <row r="446" spans="2:6" ht="15" customHeight="1" x14ac:dyDescent="0.25">
      <c r="B446" s="5" t="s">
        <v>449</v>
      </c>
      <c r="C446" s="3">
        <v>414</v>
      </c>
      <c r="D446" s="3">
        <v>212</v>
      </c>
      <c r="E446" s="3">
        <f t="shared" si="6"/>
        <v>424</v>
      </c>
      <c r="F446" s="3" t="str" cm="1">
        <f t="array" ref="F446">IF(ABS(E446-hdrmark)&lt;(Tolerance*hdrmark),"HdrMark",IF(ABS(E446-hdrspace)&lt;(Tolerance*hdrspace),"HdrSpace",(IF(ABS(E446-gap)&lt;(Tolerance*gap),"Gap",IF(ISNUMBER(SEARCH("BitMark",F447)),IF(ABS(E446-zerospace)&lt;(Tolerance*zerospace),1,0),"BitMark")))))</f>
        <v>BitMark</v>
      </c>
    </row>
    <row r="447" spans="2:6" x14ac:dyDescent="0.25">
      <c r="B447" s="5" t="s">
        <v>450</v>
      </c>
      <c r="C447" s="3">
        <v>442</v>
      </c>
      <c r="D447" s="3">
        <v>205</v>
      </c>
      <c r="E447" s="3">
        <f t="shared" si="6"/>
        <v>410</v>
      </c>
      <c r="F447" s="3" cm="1">
        <f t="array" ref="F447">IF(ABS(E447-hdrmark)&lt;(Tolerance*hdrmark),"HdrMark",IF(ABS(E447-hdrspace)&lt;(Tolerance*hdrspace),"HdrSpace",(IF(ABS(E447-gap)&lt;(Tolerance*gap),"Gap",IF(ISNUMBER(SEARCH("BitMark",F448)),IF(ABS(E447-zerospace)&lt;(Tolerance*zerospace),1,0),"BitMark")))))</f>
        <v>0</v>
      </c>
    </row>
    <row r="448" spans="2:6" ht="15" customHeight="1" x14ac:dyDescent="0.25">
      <c r="B448" s="5" t="s">
        <v>451</v>
      </c>
      <c r="C448" s="3">
        <v>1282</v>
      </c>
      <c r="D448" s="3">
        <v>660</v>
      </c>
      <c r="E448" s="3">
        <f t="shared" si="6"/>
        <v>1320</v>
      </c>
      <c r="F448" s="3" t="str" cm="1">
        <f t="array" ref="F448">IF(ABS(E448-hdrmark)&lt;(Tolerance*hdrmark),"HdrMark",IF(ABS(E448-hdrspace)&lt;(Tolerance*hdrspace),"HdrSpace",(IF(ABS(E448-gap)&lt;(Tolerance*gap),"Gap",IF(ISNUMBER(SEARCH("BitMark",F449)),IF(ABS(E448-zerospace)&lt;(Tolerance*zerospace),1,0),"BitMark")))))</f>
        <v>BitMark</v>
      </c>
    </row>
    <row r="449" spans="2:10" x14ac:dyDescent="0.25">
      <c r="B449" s="5" t="s">
        <v>452</v>
      </c>
      <c r="C449" s="3">
        <v>440</v>
      </c>
      <c r="D449" s="3">
        <v>630</v>
      </c>
      <c r="E449" s="3">
        <f t="shared" si="6"/>
        <v>1260</v>
      </c>
      <c r="F449" s="3" cm="1">
        <f t="array" ref="F449">IF(ABS(E449-hdrmark)&lt;(Tolerance*hdrmark),"HdrMark",IF(ABS(E449-hdrspace)&lt;(Tolerance*hdrspace),"HdrSpace",(IF(ABS(E449-gap)&lt;(Tolerance*gap),"Gap",IF(ISNUMBER(SEARCH("BitMark",F450)),IF(ABS(E449-zerospace)&lt;(Tolerance*zerospace),1,0),"BitMark")))))</f>
        <v>1</v>
      </c>
    </row>
    <row r="450" spans="2:10" ht="15" customHeight="1" x14ac:dyDescent="0.25">
      <c r="B450" s="5" t="s">
        <v>453</v>
      </c>
      <c r="C450" s="3">
        <f>D450*2</f>
        <v>436</v>
      </c>
      <c r="D450" s="3">
        <v>218</v>
      </c>
      <c r="E450" s="3">
        <f t="shared" si="6"/>
        <v>436</v>
      </c>
      <c r="F450" s="3" t="str" cm="1">
        <f t="array" ref="F450">IF(ABS(E450-hdrmark)&lt;(Tolerance*hdrmark),"HdrMark",IF(ABS(E450-hdrspace)&lt;(Tolerance*hdrspace),"HdrSpace",(IF(ABS(E450-gap)&lt;(Tolerance*gap),"Gap",IF(ISNUMBER(SEARCH("BitMark",F451)),IF(ABS(E450-zerospace)&lt;(Tolerance*zerospace),1,0),"BitMark")))))</f>
        <v>BitMark</v>
      </c>
      <c r="J450" t="s">
        <v>3</v>
      </c>
    </row>
  </sheetData>
  <mergeCells count="3">
    <mergeCell ref="A3:A9"/>
    <mergeCell ref="C9:I9"/>
    <mergeCell ref="B1:E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bitmark</vt:lpstr>
      <vt:lpstr>gap</vt:lpstr>
      <vt:lpstr>hdrmark</vt:lpstr>
      <vt:lpstr>hdrspace</vt:lpstr>
      <vt:lpstr>zerospace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Embedded Development</dc:creator>
  <cp:lastModifiedBy>Embedded Development</cp:lastModifiedBy>
  <dcterms:created xsi:type="dcterms:W3CDTF">2024-11-28T05:00:21Z</dcterms:created>
  <dcterms:modified xsi:type="dcterms:W3CDTF">2024-11-28T13:27:29Z</dcterms:modified>
</cp:coreProperties>
</file>